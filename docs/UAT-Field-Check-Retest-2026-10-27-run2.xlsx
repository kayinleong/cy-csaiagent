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un 1 vs Run 2" sheetId="2" state="visible" r:id="rId2"/>
    <sheet xmlns:r="http://schemas.openxmlformats.org/officeDocument/2006/relationships" name="Field Check (re-test)" sheetId="3" state="visible" r:id="rId3"/>
    <sheet xmlns:r="http://schemas.openxmlformats.org/officeDocument/2006/relationships" name="Search Cases" sheetId="4" state="visible" r:id="rId4"/>
    <sheet xmlns:r="http://schemas.openxmlformats.org/officeDocument/2006/relationships" name="Findings" sheetId="5" state="visible" r:id="rId5"/>
    <sheet xmlns:r="http://schemas.openxmlformats.org/officeDocument/2006/relationships" name="Developer Check" sheetId="6" state="visible" r:id="rId6"/>
    <sheet xmlns:r="http://schemas.openxmlformats.org/officeDocument/2006/relationships" name="Answers" sheetId="7" state="visible" r:id="rId7"/>
  </sheets>
  <definedNames>
    <definedName name="_xlnm._FilterDatabase" localSheetId="2" hidden="1">'Field Check (re-test)'!$A$4:$T$87</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sz val="12"/>
    </font>
    <font>
      <name val="Arial"/>
      <i val="1"/>
      <sz val="9"/>
    </font>
    <font>
      <name val="Arial"/>
      <b val="1"/>
      <color rgb="00FFFFFF"/>
      <sz val="10"/>
    </font>
    <font>
      <name val="Arial"/>
      <sz val="9"/>
    </font>
    <font>
      <name val="Arial"/>
      <b val="1"/>
      <sz val="9"/>
    </font>
    <font>
      <name val="Arial"/>
      <b val="1"/>
      <sz val="14"/>
    </font>
    <font>
      <name val="Arial"/>
      <b val="1"/>
      <sz val="10"/>
    </font>
    <font>
      <name val="Arial"/>
      <sz val="10"/>
    </font>
    <font>
      <name val="Arial"/>
      <b val="1"/>
      <sz val="11"/>
    </font>
  </fonts>
  <fills count="10">
    <fill>
      <patternFill/>
    </fill>
    <fill>
      <patternFill patternType="gray125"/>
    </fill>
    <fill>
      <patternFill patternType="solid">
        <fgColor rgb="001F3864"/>
      </patternFill>
    </fill>
    <fill>
      <patternFill patternType="solid">
        <fgColor rgb="00FFF2CC"/>
      </patternFill>
    </fill>
    <fill>
      <patternFill patternType="solid">
        <fgColor rgb="00C6EFCE"/>
      </patternFill>
    </fill>
    <fill>
      <patternFill patternType="solid">
        <fgColor rgb="00EDEDED"/>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8" fillId="0" borderId="0" pivotButton="0" quotePrefix="0" xfId="0"/>
    <xf numFmtId="0" fontId="8" fillId="4" borderId="0" pivotButton="0" quotePrefix="0" xfId="0"/>
    <xf numFmtId="0" fontId="8" fillId="6" borderId="0" pivotButton="0" quotePrefix="0" xfId="0"/>
    <xf numFmtId="0" fontId="8" fillId="8" borderId="0" pivotButton="0" quotePrefix="0" xfId="0"/>
    <xf numFmtId="0" fontId="8" fillId="3" borderId="0" pivotButton="0" quotePrefix="0" xfId="0"/>
    <xf numFmtId="0" fontId="8" fillId="9" borderId="0" pivotButton="0" quotePrefix="0" xfId="0"/>
    <xf numFmtId="0" fontId="8" fillId="7" borderId="0" pivotButton="0" quotePrefix="0" xfId="0"/>
    <xf numFmtId="0" fontId="8" fillId="5" borderId="0" pivotButton="0" quotePrefix="0" xfId="0"/>
    <xf numFmtId="164" fontId="8" fillId="0" borderId="0" pivotButton="0" quotePrefix="0" xfId="0"/>
    <xf numFmtId="0" fontId="2" fillId="0" borderId="0" pivotButton="0" quotePrefix="0" xfId="0"/>
    <xf numFmtId="0" fontId="4"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3" borderId="1" applyAlignment="1" pivotButton="0" quotePrefix="0" xfId="0">
      <alignment horizontal="center" vertical="top"/>
    </xf>
    <xf numFmtId="0" fontId="4" fillId="4" borderId="1" applyAlignment="1" pivotButton="0" quotePrefix="0" xfId="0">
      <alignment horizontal="center" vertical="top"/>
    </xf>
    <xf numFmtId="0" fontId="4" fillId="3" borderId="1" applyAlignment="1" pivotButton="0" quotePrefix="0" xfId="0">
      <alignment horizontal="center" vertical="top"/>
    </xf>
    <xf numFmtId="0" fontId="4" fillId="5" borderId="1" applyAlignment="1" pivotButton="0" quotePrefix="0" xfId="0">
      <alignment horizontal="center" vertical="top"/>
    </xf>
    <xf numFmtId="0" fontId="4" fillId="0" borderId="1" applyAlignment="1" pivotButton="0" quotePrefix="0" xfId="0">
      <alignment horizontal="left" vertical="top" wrapText="1"/>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4" fillId="7" borderId="1" applyAlignment="1" pivotButton="0" quotePrefix="0" xfId="0">
      <alignment horizontal="center" vertical="top"/>
    </xf>
    <xf numFmtId="0" fontId="4" fillId="8" borderId="1" applyAlignment="1" pivotButton="0" quotePrefix="0" xfId="0">
      <alignment horizontal="center" vertical="top"/>
    </xf>
    <xf numFmtId="0" fontId="4" fillId="9" borderId="1" applyAlignment="1" pivotButton="0" quotePrefix="0" xfId="0">
      <alignment horizontal="center" vertical="top"/>
    </xf>
    <xf numFmtId="0" fontId="5" fillId="8" borderId="1" applyAlignment="1" pivotButton="0" quotePrefix="0" xfId="0">
      <alignment horizontal="center" vertical="top"/>
    </xf>
    <xf numFmtId="0" fontId="5" fillId="0" borderId="1" applyAlignment="1" pivotButton="0" quotePrefix="0" xfId="0">
      <alignment horizontal="center" vertical="top"/>
    </xf>
    <xf numFmtId="0" fontId="5" fillId="9" borderId="1" applyAlignment="1" pivotButton="0" quotePrefix="0" xfId="0">
      <alignment horizontal="center" vertical="top"/>
    </xf>
    <xf numFmtId="0" fontId="5" fillId="0" borderId="1" applyAlignment="1" pivotButton="0" quotePrefix="0" xfId="0">
      <alignment horizontal="left" vertical="top" wrapText="1"/>
    </xf>
    <xf numFmtId="0" fontId="5" fillId="5"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4" borderId="1" applyAlignment="1" pivotButton="0" quotePrefix="0" xfId="0">
      <alignment horizontal="center" vertical="top"/>
    </xf>
    <xf numFmtId="0" fontId="5" fillId="3" borderId="1" applyAlignment="1" pivotButton="0" quotePrefix="0" xfId="0">
      <alignment horizontal="center" vertical="top"/>
    </xf>
    <xf numFmtId="0" fontId="5" fillId="6" borderId="1" applyAlignment="1" pivotButton="0" quotePrefix="0" xfId="0">
      <alignment horizontal="center" vertical="top"/>
    </xf>
    <xf numFmtId="0" fontId="5" fillId="8"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46" customWidth="1" min="1" max="1"/>
    <col width="14" customWidth="1" min="2" max="2"/>
    <col width="90" customWidth="1" min="3" max="3"/>
  </cols>
  <sheetData>
    <row r="1">
      <c r="A1" s="1" t="inlineStr">
        <is>
          <t>D2 Finder: client sheet field check, run 2 (after the quick-kayinleong-100 fixes)</t>
        </is>
      </c>
    </row>
    <row r="2"/>
    <row r="3" ht="30" customHeight="1">
      <c r="A3" s="2" t="inlineStr">
        <is>
          <t>Date</t>
        </is>
      </c>
      <c r="B3" s="3" t="inlineStr">
        <is>
          <t>27 Oct 2026</t>
        </is>
      </c>
    </row>
    <row r="4" ht="30" customHeight="1">
      <c r="A4" s="2" t="inlineStr">
        <is>
          <t>Build</t>
        </is>
      </c>
      <c r="B4" s="3" t="inlineStr">
        <is>
          <t>main @ 77118b2 = quick-kayinleong-098 (location, next steps, property type) + 099 (dev-only model override) + 100 (project-scoped KB extracts, matches default), local dev server</t>
        </is>
      </c>
    </row>
    <row r="5" ht="30" customHeight="1">
      <c r="A5" s="2" t="inlineStr">
        <is>
          <t>Model</t>
        </is>
      </c>
      <c r="B5" s="3" t="inlineStr">
        <is>
          <t>gemini-3.5-flash via LOCAL_MODEL_OVERRIDE. The Anthropic key in .env had no credit (AI_APICallError), so production Claude could not be used</t>
        </is>
      </c>
    </row>
    <row r="6" ht="30" customHeight="1">
      <c r="A6" s="2" t="inlineStr">
        <is>
          <t>Method</t>
        </is>
      </c>
      <c r="B6" s="3" t="inlineStr">
        <is>
          <t>Signed in as the admin test account, chat page, Finder chip, one NEW conversation per prompt. 83 full-detail prompts (one per project) plus 6 search cases. Answers read back from the saved conversation in Firestore and scored against the client sheet (claim 096 normalised values), then every unsettled cell reviewed by hand</t>
        </is>
      </c>
    </row>
    <row r="7" ht="30" customHeight="1">
      <c r="A7" s="2" t="inlineStr">
        <is>
          <t>Runs</t>
        </is>
      </c>
      <c r="B7" s="3" t="inlineStr">
        <is>
          <t>89 prompts, 0 errors, 0 backend failures. Rate limit (300k tokens / 24h) tripped 6 times and was reset from the admin Users page. Same prompts, same scoring and the same manual-review rules as run 1; see the 'Run 1 vs Run 2' sheet</t>
        </is>
      </c>
    </row>
    <row r="8"/>
    <row r="9">
      <c r="A9" s="4" t="inlineStr">
        <is>
          <t>Projects by overall result</t>
        </is>
      </c>
    </row>
    <row r="10">
      <c r="A10" s="5" t="inlineStr">
        <is>
          <t>Pass</t>
        </is>
      </c>
      <c r="B10" s="6">
        <f>COUNTIF('Field Check (re-test)'!$C$5:$C$87,"Pass")</f>
        <v/>
      </c>
    </row>
    <row r="11">
      <c r="A11" s="5" t="inlineStr">
        <is>
          <t>Pass (differs)</t>
        </is>
      </c>
      <c r="B11" s="7">
        <f>COUNTIF('Field Check (re-test)'!$C$5:$C$87,"Pass (differs)")</f>
        <v/>
      </c>
    </row>
    <row r="12">
      <c r="A12" s="5" t="inlineStr">
        <is>
          <t>Needs ruling</t>
        </is>
      </c>
      <c r="B12" s="8">
        <f>COUNTIF('Field Check (re-test)'!$C$5:$C$87,"Needs ruling")</f>
        <v/>
      </c>
    </row>
    <row r="13">
      <c r="A13" s="5" t="inlineStr">
        <is>
          <t>Partial</t>
        </is>
      </c>
      <c r="B13" s="9">
        <f>COUNTIF('Field Check (re-test)'!$C$5:$C$87,"Partial")</f>
        <v/>
      </c>
    </row>
    <row r="14">
      <c r="A14" s="5" t="inlineStr">
        <is>
          <t>Fail</t>
        </is>
      </c>
      <c r="B14" s="10">
        <f>COUNTIF('Field Check (re-test)'!$C$5:$C$87,"Fail")</f>
        <v/>
      </c>
    </row>
    <row r="15">
      <c r="A15" s="5" t="inlineStr">
        <is>
          <t>Review</t>
        </is>
      </c>
      <c r="B15" s="10">
        <f>COUNTIF('Field Check (re-test)'!$C$5:$C$87,"Review")</f>
        <v/>
      </c>
    </row>
    <row r="16">
      <c r="A16" s="2" t="inlineStr">
        <is>
          <t>Total projects</t>
        </is>
      </c>
      <c r="B16" s="2">
        <f>SUM(B10:B15)</f>
        <v/>
      </c>
    </row>
    <row r="17"/>
    <row r="18">
      <c r="A18" s="4" t="inlineStr">
        <is>
          <t>Cells by result (83 projects x 15 fields)</t>
        </is>
      </c>
    </row>
    <row r="19">
      <c r="A19" s="5" t="inlineStr">
        <is>
          <t>PASS</t>
        </is>
      </c>
      <c r="B19" s="6">
        <f>COUNTIF('Field Check (re-test)'!$D$5:$R$87,"PASS")</f>
        <v/>
      </c>
    </row>
    <row r="20">
      <c r="A20" s="5" t="inlineStr">
        <is>
          <t>DIFFERS</t>
        </is>
      </c>
      <c r="B20" s="11">
        <f>COUNTIF('Field Check (re-test)'!$D$5:$R$87,"DIFFERS")</f>
        <v/>
      </c>
    </row>
    <row r="21">
      <c r="A21" s="5" t="inlineStr">
        <is>
          <t>CONFLICT</t>
        </is>
      </c>
      <c r="B21" s="8">
        <f>COUNTIF('Field Check (re-test)'!$D$5:$R$87,"CONFLICT")</f>
        <v/>
      </c>
    </row>
    <row r="22">
      <c r="A22" s="5" t="inlineStr">
        <is>
          <t>NOT STATED</t>
        </is>
      </c>
      <c r="B22" s="9">
        <f>COUNTIF('Field Check (re-test)'!$D$5:$R$87,"NOT STATED")</f>
        <v/>
      </c>
    </row>
    <row r="23">
      <c r="A23" s="5" t="inlineStr">
        <is>
          <t>NO SOURCE</t>
        </is>
      </c>
      <c r="B23" s="12">
        <f>COUNTIF('Field Check (re-test)'!$D$5:$R$87,"NO SOURCE")</f>
        <v/>
      </c>
    </row>
    <row r="24">
      <c r="A24" s="5" t="inlineStr">
        <is>
          <t>FAIL</t>
        </is>
      </c>
      <c r="B24" s="10">
        <f>COUNTIF('Field Check (re-test)'!$D$5:$R$87,"FAIL")</f>
        <v/>
      </c>
    </row>
    <row r="25">
      <c r="A25" s="5" t="inlineStr">
        <is>
          <t>—</t>
        </is>
      </c>
      <c r="B25" s="5">
        <f>COUNTIF('Field Check (re-test)'!$D$5:$R$87,"—")</f>
        <v/>
      </c>
    </row>
    <row r="26">
      <c r="A26" s="2" t="inlineStr">
        <is>
          <t>Total cells</t>
        </is>
      </c>
      <c r="B26" s="2">
        <f>SUM(B19:B25)</f>
        <v/>
      </c>
    </row>
    <row r="27">
      <c r="A27" s="5" t="inlineStr">
        <is>
          <t>PASS rate where the client sheet has a value</t>
        </is>
      </c>
      <c r="B27" s="13">
        <f>B19/(B19+B20+B21+B22+B24)</f>
        <v/>
      </c>
      <c r="C27" s="14" t="inlineStr">
        <is>
          <t>PASS ÷ (PASS + DIFFERS + CONFLICT + NOT STATED + FAIL)</t>
        </is>
      </c>
    </row>
    <row r="28"/>
    <row r="29">
      <c r="A29" s="4" t="inlineStr">
        <is>
          <t>Previously failing projects (24 Oct)</t>
        </is>
      </c>
    </row>
    <row r="30">
      <c r="A30" s="5" t="inlineStr">
        <is>
          <t>d'Brightton titiwangsa</t>
        </is>
      </c>
      <c r="B30" s="6" t="inlineStr">
        <is>
          <t>Pass</t>
        </is>
      </c>
      <c r="C30" s="15" t="inlineStr">
        <is>
          <t>No longer returned for KLCC (search F9); its area now reads Titiwangsa</t>
        </is>
      </c>
    </row>
    <row r="31">
      <c r="A31" s="5" t="inlineStr">
        <is>
          <t>Alstonia Hilltop Homes</t>
        </is>
      </c>
      <c r="B31" s="6" t="inlineStr">
        <is>
          <t>Pass</t>
        </is>
      </c>
      <c r="C31" s="15" t="inlineStr">
        <is>
          <t>No longer returned for North Kiara (search F5); its area is now the client sheet's Sungai Buloh, Selangor</t>
        </is>
      </c>
    </row>
    <row r="32">
      <c r="A32" s="5" t="inlineStr">
        <is>
          <t>OAKA Residences, Bukit Jalil</t>
        </is>
      </c>
      <c r="B32" s="6" t="inlineStr">
        <is>
          <t>Pass</t>
        </is>
      </c>
      <c r="C32" s="15" t="inlineStr">
        <is>
          <t>All facts match. D-014 (RM750,000 range floor vs ~RM850k cheapest layout) is unchanged and still needs Derek's ruling</t>
        </is>
      </c>
    </row>
    <row r="33">
      <c r="A33" s="5" t="inlineStr">
        <is>
          <t>Aspire office @ KL ecocity</t>
        </is>
      </c>
      <c r="B33" s="6" t="inlineStr">
        <is>
          <t>Pass</t>
        </is>
      </c>
      <c r="C33" s="15" t="inlineStr">
        <is>
          <t>No longer in the residential Bangsar shortlist (search N2); still answered in full when asked by name</t>
        </is>
      </c>
    </row>
    <row r="34">
      <c r="A34" s="5" t="inlineStr">
        <is>
          <t>Bangsar Hill Park (Needs ruling)</t>
        </is>
      </c>
      <c r="B34" s="6" t="inlineStr">
        <is>
          <t>Pass</t>
        </is>
      </c>
      <c r="C34" s="15" t="inlineStr">
        <is>
          <t>Facts match. The F13 price-total ruling remains (see Search Cases)</t>
        </is>
      </c>
    </row>
    <row r="35">
      <c r="A35" s="5" t="inlineStr">
        <is>
          <t>Binastra Cochrane (Needs ruling)</t>
        </is>
      </c>
      <c r="B35" s="6" t="inlineStr">
        <is>
          <t>Pass</t>
        </is>
      </c>
      <c r="C35" s="15" t="inlineStr">
        <is>
          <t>Correctly reported as not in D2's inventory (it was never loaded)</t>
        </is>
      </c>
    </row>
    <row r="36">
      <c r="A36" s="5" t="inlineStr">
        <is>
          <t>SO Sofitel Residences KLCC (Partial)</t>
        </is>
      </c>
      <c r="B36" s="6" t="inlineStr">
        <is>
          <t>Pass</t>
        </is>
      </c>
      <c r="C36" s="15" t="inlineStr">
        <is>
          <t>Type B1A nett RM1,525,440 / gross RM1,906,800 now confirmed in chat</t>
        </is>
      </c>
    </row>
  </sheetData>
  <mergeCells count="5">
    <mergeCell ref="B6:C6"/>
    <mergeCell ref="B7:C7"/>
    <mergeCell ref="B3:C3"/>
    <mergeCell ref="B5:C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14" customWidth="1" min="3" max="3"/>
    <col width="14" customWidth="1" min="4" max="4"/>
    <col width="12" customWidth="1" min="5" max="5"/>
    <col width="110" customWidth="1" min="6" max="6"/>
  </cols>
  <sheetData>
    <row r="1">
      <c r="A1" s="18" t="inlineStr">
        <is>
          <t>#</t>
        </is>
      </c>
      <c r="B1" s="18" t="inlineStr">
        <is>
          <t>Project</t>
        </is>
      </c>
      <c r="C1" s="18" t="inlineStr">
        <is>
          <t>Run 1</t>
        </is>
      </c>
      <c r="D1" s="18" t="inlineStr">
        <is>
          <t>Run 2</t>
        </is>
      </c>
      <c r="E1" s="18" t="inlineStr">
        <is>
          <t>Same overall?</t>
        </is>
      </c>
      <c r="F1" s="18" t="inlineStr">
        <is>
          <t>Cells that changed (run 1 -&gt; run 2)</t>
        </is>
      </c>
    </row>
    <row r="2">
      <c r="A2" s="36" t="n">
        <v>1</v>
      </c>
      <c r="B2" s="37" t="inlineStr">
        <is>
          <t>Damansara City Residency (DC Residensi)</t>
        </is>
      </c>
      <c r="C2" s="38" t="inlineStr">
        <is>
          <t>Pass</t>
        </is>
      </c>
      <c r="D2" s="39" t="inlineStr">
        <is>
          <t>Partial</t>
        </is>
      </c>
      <c r="E2" s="36" t="inlineStr">
        <is>
          <t>No</t>
        </is>
      </c>
      <c r="F2" s="25" t="inlineStr">
        <is>
          <t>Land Title: PASS -&gt; NOT STATED</t>
        </is>
      </c>
    </row>
    <row r="3">
      <c r="A3" s="36" t="n">
        <v>2</v>
      </c>
      <c r="B3" s="37" t="inlineStr">
        <is>
          <t>PDH: Imperial Residences RA</t>
        </is>
      </c>
      <c r="C3" s="38" t="inlineStr">
        <is>
          <t>Pass</t>
        </is>
      </c>
      <c r="D3" s="38" t="inlineStr">
        <is>
          <t>Pass</t>
        </is>
      </c>
      <c r="E3" s="36" t="inlineStr">
        <is>
          <t>Yes</t>
        </is>
      </c>
      <c r="F3" s="25" t="inlineStr">
        <is>
          <t>—</t>
        </is>
      </c>
    </row>
    <row r="4">
      <c r="A4" s="36" t="n">
        <v>3</v>
      </c>
      <c r="B4" s="37" t="inlineStr">
        <is>
          <t>Bangsar Hill Park</t>
        </is>
      </c>
      <c r="C4" s="38" t="inlineStr">
        <is>
          <t>Pass</t>
        </is>
      </c>
      <c r="D4" s="40" t="inlineStr">
        <is>
          <t>Pass (differs)</t>
        </is>
      </c>
      <c r="E4" s="36" t="inlineStr">
        <is>
          <t>No</t>
        </is>
      </c>
      <c r="F4" s="25" t="inlineStr">
        <is>
          <t>Total Units: PASS -&gt; DIFFERS</t>
        </is>
      </c>
    </row>
    <row r="5">
      <c r="A5" s="36" t="n">
        <v>4</v>
      </c>
      <c r="B5" s="37" t="inlineStr">
        <is>
          <t>ViiA Residences</t>
        </is>
      </c>
      <c r="C5" s="40" t="inlineStr">
        <is>
          <t>Pass (differs)</t>
        </is>
      </c>
      <c r="D5" s="40" t="inlineStr">
        <is>
          <t>Pass (differs)</t>
        </is>
      </c>
      <c r="E5" s="36" t="inlineStr">
        <is>
          <t>Yes</t>
        </is>
      </c>
      <c r="F5" s="25" t="inlineStr">
        <is>
          <t>—</t>
        </is>
      </c>
    </row>
    <row r="6">
      <c r="A6" s="36" t="n">
        <v>5</v>
      </c>
      <c r="B6" s="37" t="inlineStr">
        <is>
          <t>Enlace Suites @ Pantai Sentral Park</t>
        </is>
      </c>
      <c r="C6" s="38" t="inlineStr">
        <is>
          <t>Pass</t>
        </is>
      </c>
      <c r="D6" s="38" t="inlineStr">
        <is>
          <t>Pass</t>
        </is>
      </c>
      <c r="E6" s="36" t="inlineStr">
        <is>
          <t>Yes</t>
        </is>
      </c>
      <c r="F6" s="25" t="inlineStr">
        <is>
          <t>—</t>
        </is>
      </c>
    </row>
    <row r="7">
      <c r="A7" s="36" t="n">
        <v>6</v>
      </c>
      <c r="B7" s="37" t="inlineStr">
        <is>
          <t>The Lantern Bangsar</t>
        </is>
      </c>
      <c r="C7" s="38" t="inlineStr">
        <is>
          <t>Pass</t>
        </is>
      </c>
      <c r="D7" s="38" t="inlineStr">
        <is>
          <t>Pass</t>
        </is>
      </c>
      <c r="E7" s="36" t="inlineStr">
        <is>
          <t>Yes</t>
        </is>
      </c>
      <c r="F7" s="25" t="inlineStr">
        <is>
          <t>—</t>
        </is>
      </c>
    </row>
    <row r="8">
      <c r="A8" s="36" t="n">
        <v>7</v>
      </c>
      <c r="B8" s="37" t="inlineStr">
        <is>
          <t>One Eleven Menerung @ Bangsar</t>
        </is>
      </c>
      <c r="C8" s="38" t="inlineStr">
        <is>
          <t>Pass</t>
        </is>
      </c>
      <c r="D8" s="38" t="inlineStr">
        <is>
          <t>Pass</t>
        </is>
      </c>
      <c r="E8" s="36" t="inlineStr">
        <is>
          <t>Yes</t>
        </is>
      </c>
      <c r="F8" s="25" t="inlineStr">
        <is>
          <t>—</t>
        </is>
      </c>
    </row>
    <row r="9">
      <c r="A9" s="36" t="n">
        <v>8</v>
      </c>
      <c r="B9" s="37" t="inlineStr">
        <is>
          <t>Pavilion Damansara Heights</t>
        </is>
      </c>
      <c r="C9" s="38" t="inlineStr">
        <is>
          <t>Pass</t>
        </is>
      </c>
      <c r="D9" s="38" t="inlineStr">
        <is>
          <t>Pass</t>
        </is>
      </c>
      <c r="E9" s="36" t="inlineStr">
        <is>
          <t>Yes</t>
        </is>
      </c>
      <c r="F9" s="25" t="inlineStr">
        <is>
          <t>—</t>
        </is>
      </c>
    </row>
    <row r="10">
      <c r="A10" s="36" t="n">
        <v>9</v>
      </c>
      <c r="B10" s="37" t="inlineStr">
        <is>
          <t>PDH: Royal Suites(RC)</t>
        </is>
      </c>
      <c r="C10" s="38" t="inlineStr">
        <is>
          <t>Pass</t>
        </is>
      </c>
      <c r="D10" s="38" t="inlineStr">
        <is>
          <t>Pass</t>
        </is>
      </c>
      <c r="E10" s="36" t="inlineStr">
        <is>
          <t>Yes</t>
        </is>
      </c>
      <c r="F10" s="25" t="inlineStr">
        <is>
          <t>—</t>
        </is>
      </c>
    </row>
    <row r="11">
      <c r="A11" s="36" t="n">
        <v>10</v>
      </c>
      <c r="B11" s="37" t="inlineStr">
        <is>
          <t>Pinnacle Bangsar Residence</t>
        </is>
      </c>
      <c r="C11" s="38" t="inlineStr">
        <is>
          <t>Pass</t>
        </is>
      </c>
      <c r="D11" s="38" t="inlineStr">
        <is>
          <t>Pass</t>
        </is>
      </c>
      <c r="E11" s="36" t="inlineStr">
        <is>
          <t>Yes</t>
        </is>
      </c>
      <c r="F11" s="25" t="inlineStr">
        <is>
          <t>—</t>
        </is>
      </c>
    </row>
    <row r="12">
      <c r="A12" s="36" t="n">
        <v>11</v>
      </c>
      <c r="B12" s="37" t="inlineStr">
        <is>
          <t>Parkside Residences</t>
        </is>
      </c>
      <c r="C12" s="38" t="inlineStr">
        <is>
          <t>Pass</t>
        </is>
      </c>
      <c r="D12" s="39" t="inlineStr">
        <is>
          <t>Partial</t>
        </is>
      </c>
      <c r="E12" s="36" t="inlineStr">
        <is>
          <t>No</t>
        </is>
      </c>
      <c r="F12" s="25" t="inlineStr">
        <is>
          <t>Size: PASS -&gt; NOT STATED; Rooms: PASS -&gt; NOT STATED; Nett Price: PASS -&gt; NOT STATED; Gross Price: PASS -&gt; NOT STATED</t>
        </is>
      </c>
    </row>
    <row r="13">
      <c r="A13" s="36" t="n">
        <v>12</v>
      </c>
      <c r="B13" s="37" t="inlineStr">
        <is>
          <t>Rhombus</t>
        </is>
      </c>
      <c r="C13" s="38" t="inlineStr">
        <is>
          <t>Pass</t>
        </is>
      </c>
      <c r="D13" s="38" t="inlineStr">
        <is>
          <t>Pass</t>
        </is>
      </c>
      <c r="E13" s="36" t="inlineStr">
        <is>
          <t>Yes</t>
        </is>
      </c>
      <c r="F13" s="25" t="inlineStr">
        <is>
          <t>—</t>
        </is>
      </c>
    </row>
    <row r="14">
      <c r="A14" s="36" t="n">
        <v>13</v>
      </c>
      <c r="B14" s="37" t="inlineStr">
        <is>
          <t>Riana Trees Residences</t>
        </is>
      </c>
      <c r="C14" s="40" t="inlineStr">
        <is>
          <t>Pass (differs)</t>
        </is>
      </c>
      <c r="D14" s="38" t="inlineStr">
        <is>
          <t>Pass</t>
        </is>
      </c>
      <c r="E14" s="36" t="inlineStr">
        <is>
          <t>No</t>
        </is>
      </c>
      <c r="F14" s="25" t="inlineStr">
        <is>
          <t>Area: DIFFERS -&gt; PASS</t>
        </is>
      </c>
    </row>
    <row r="15">
      <c r="A15" s="36" t="n">
        <v>14</v>
      </c>
      <c r="B15" s="37" t="inlineStr">
        <is>
          <t>Residensi 38 Bangsar</t>
        </is>
      </c>
      <c r="C15" s="38" t="inlineStr">
        <is>
          <t>Pass</t>
        </is>
      </c>
      <c r="D15" s="38" t="inlineStr">
        <is>
          <t>Pass</t>
        </is>
      </c>
      <c r="E15" s="36" t="inlineStr">
        <is>
          <t>Yes</t>
        </is>
      </c>
      <c r="F15" s="25" t="inlineStr">
        <is>
          <t>—</t>
        </is>
      </c>
    </row>
    <row r="16">
      <c r="A16" s="36" t="n">
        <v>15</v>
      </c>
      <c r="B16" s="37" t="inlineStr">
        <is>
          <t>Lunar Seputeh</t>
        </is>
      </c>
      <c r="C16" s="38" t="inlineStr">
        <is>
          <t>Pass</t>
        </is>
      </c>
      <c r="D16" s="38" t="inlineStr">
        <is>
          <t>Pass</t>
        </is>
      </c>
      <c r="E16" s="36" t="inlineStr">
        <is>
          <t>Yes</t>
        </is>
      </c>
      <c r="F16" s="25" t="inlineStr">
        <is>
          <t>—</t>
        </is>
      </c>
    </row>
    <row r="17">
      <c r="A17" s="36" t="n">
        <v>16</v>
      </c>
      <c r="B17" s="37" t="inlineStr">
        <is>
          <t>Sentral Suites @ KL Sentral</t>
        </is>
      </c>
      <c r="C17" s="38" t="inlineStr">
        <is>
          <t>Pass</t>
        </is>
      </c>
      <c r="D17" s="38" t="inlineStr">
        <is>
          <t>Pass</t>
        </is>
      </c>
      <c r="E17" s="36" t="inlineStr">
        <is>
          <t>Yes</t>
        </is>
      </c>
      <c r="F17" s="25" t="inlineStr">
        <is>
          <t>—</t>
        </is>
      </c>
    </row>
    <row r="18">
      <c r="A18" s="36" t="n">
        <v>17</v>
      </c>
      <c r="B18" s="37" t="inlineStr">
        <is>
          <t>The Cedar Damansara Heights</t>
        </is>
      </c>
      <c r="C18" s="38" t="inlineStr">
        <is>
          <t>Pass</t>
        </is>
      </c>
      <c r="D18" s="38" t="inlineStr">
        <is>
          <t>Pass</t>
        </is>
      </c>
      <c r="E18" s="36" t="inlineStr">
        <is>
          <t>Yes</t>
        </is>
      </c>
      <c r="F18" s="25" t="inlineStr">
        <is>
          <t>—</t>
        </is>
      </c>
    </row>
    <row r="19">
      <c r="A19" s="36" t="n">
        <v>18</v>
      </c>
      <c r="B19" s="37" t="inlineStr">
        <is>
          <t>Tria Seputeh</t>
        </is>
      </c>
      <c r="C19" s="38" t="inlineStr">
        <is>
          <t>Pass</t>
        </is>
      </c>
      <c r="D19" s="38" t="inlineStr">
        <is>
          <t>Pass</t>
        </is>
      </c>
      <c r="E19" s="36" t="inlineStr">
        <is>
          <t>Yes</t>
        </is>
      </c>
      <c r="F19" s="25" t="inlineStr">
        <is>
          <t>—</t>
        </is>
      </c>
    </row>
    <row r="20">
      <c r="A20" s="36" t="n">
        <v>19</v>
      </c>
      <c r="B20" s="37" t="inlineStr">
        <is>
          <t>d'Brightton titiwangsa</t>
        </is>
      </c>
      <c r="C20" s="38" t="inlineStr">
        <is>
          <t>Pass</t>
        </is>
      </c>
      <c r="D20" s="38" t="inlineStr">
        <is>
          <t>Pass</t>
        </is>
      </c>
      <c r="E20" s="36" t="inlineStr">
        <is>
          <t>Yes</t>
        </is>
      </c>
      <c r="F20" s="25" t="inlineStr">
        <is>
          <t>—</t>
        </is>
      </c>
    </row>
    <row r="21">
      <c r="A21" s="36" t="n">
        <v>20</v>
      </c>
      <c r="B21" s="37" t="inlineStr">
        <is>
          <t>IJM Sierra Hijauan</t>
        </is>
      </c>
      <c r="C21" s="38" t="inlineStr">
        <is>
          <t>Pass</t>
        </is>
      </c>
      <c r="D21" s="38" t="inlineStr">
        <is>
          <t>Pass</t>
        </is>
      </c>
      <c r="E21" s="36" t="inlineStr">
        <is>
          <t>Yes</t>
        </is>
      </c>
      <c r="F21" s="25" t="inlineStr">
        <is>
          <t>—</t>
        </is>
      </c>
    </row>
    <row r="22">
      <c r="A22" s="36" t="n">
        <v>21</v>
      </c>
      <c r="B22" s="37" t="inlineStr">
        <is>
          <t>Puncak Wangsamas Phase 2</t>
        </is>
      </c>
      <c r="C22" s="38" t="inlineStr">
        <is>
          <t>Pass</t>
        </is>
      </c>
      <c r="D22" s="38" t="inlineStr">
        <is>
          <t>Pass</t>
        </is>
      </c>
      <c r="E22" s="36" t="inlineStr">
        <is>
          <t>Yes</t>
        </is>
      </c>
      <c r="F22" s="25" t="inlineStr">
        <is>
          <t>—</t>
        </is>
      </c>
    </row>
    <row r="23">
      <c r="A23" s="36" t="n">
        <v>22</v>
      </c>
      <c r="B23" s="37" t="inlineStr">
        <is>
          <t>The Reya</t>
        </is>
      </c>
      <c r="C23" s="38" t="inlineStr">
        <is>
          <t>Pass</t>
        </is>
      </c>
      <c r="D23" s="38" t="inlineStr">
        <is>
          <t>Pass</t>
        </is>
      </c>
      <c r="E23" s="36" t="inlineStr">
        <is>
          <t>Yes</t>
        </is>
      </c>
      <c r="F23" s="25" t="inlineStr">
        <is>
          <t>—</t>
        </is>
      </c>
    </row>
    <row r="24">
      <c r="A24" s="36" t="n">
        <v>23</v>
      </c>
      <c r="B24" s="37" t="inlineStr">
        <is>
          <t>Padang Residences</t>
        </is>
      </c>
      <c r="C24" s="38" t="inlineStr">
        <is>
          <t>Pass</t>
        </is>
      </c>
      <c r="D24" s="38" t="inlineStr">
        <is>
          <t>Pass</t>
        </is>
      </c>
      <c r="E24" s="36" t="inlineStr">
        <is>
          <t>Yes</t>
        </is>
      </c>
      <c r="F24" s="25" t="inlineStr">
        <is>
          <t>—</t>
        </is>
      </c>
    </row>
    <row r="25">
      <c r="A25" s="36" t="n">
        <v>24</v>
      </c>
      <c r="B25" s="37" t="inlineStr">
        <is>
          <t>Tangen Residences</t>
        </is>
      </c>
      <c r="C25" s="38" t="inlineStr">
        <is>
          <t>Pass</t>
        </is>
      </c>
      <c r="D25" s="38" t="inlineStr">
        <is>
          <t>Pass</t>
        </is>
      </c>
      <c r="E25" s="36" t="inlineStr">
        <is>
          <t>Yes</t>
        </is>
      </c>
      <c r="F25" s="25" t="inlineStr">
        <is>
          <t>—</t>
        </is>
      </c>
    </row>
    <row r="26">
      <c r="A26" s="36" t="n">
        <v>25</v>
      </c>
      <c r="B26" s="37" t="inlineStr">
        <is>
          <t>Miranda Hill @ north kiara by BRDB</t>
        </is>
      </c>
      <c r="C26" s="38" t="inlineStr">
        <is>
          <t>Pass</t>
        </is>
      </c>
      <c r="D26" s="38" t="inlineStr">
        <is>
          <t>Pass</t>
        </is>
      </c>
      <c r="E26" s="36" t="inlineStr">
        <is>
          <t>Yes</t>
        </is>
      </c>
      <c r="F26" s="25" t="inlineStr">
        <is>
          <t>—</t>
        </is>
      </c>
    </row>
    <row r="27">
      <c r="A27" s="36" t="n">
        <v>26</v>
      </c>
      <c r="B27" s="37" t="inlineStr">
        <is>
          <t>Alstonia Hilltop Homes</t>
        </is>
      </c>
      <c r="C27" s="38" t="inlineStr">
        <is>
          <t>Pass</t>
        </is>
      </c>
      <c r="D27" s="38" t="inlineStr">
        <is>
          <t>Pass</t>
        </is>
      </c>
      <c r="E27" s="36" t="inlineStr">
        <is>
          <t>Yes</t>
        </is>
      </c>
      <c r="F27" s="25" t="inlineStr">
        <is>
          <t>—</t>
        </is>
      </c>
    </row>
    <row r="28">
      <c r="A28" s="36" t="n">
        <v>27</v>
      </c>
      <c r="B28" s="37" t="inlineStr">
        <is>
          <t>Binastra Cochrane</t>
        </is>
      </c>
      <c r="C28" s="38" t="inlineStr">
        <is>
          <t>Pass</t>
        </is>
      </c>
      <c r="D28" s="38" t="inlineStr">
        <is>
          <t>Pass</t>
        </is>
      </c>
      <c r="E28" s="36" t="inlineStr">
        <is>
          <t>Yes</t>
        </is>
      </c>
      <c r="F28" s="25" t="inlineStr">
        <is>
          <t>—</t>
        </is>
      </c>
    </row>
    <row r="29">
      <c r="A29" s="36" t="n">
        <v>28</v>
      </c>
      <c r="B29" s="37" t="inlineStr">
        <is>
          <t>Eden BRDB, Taman Duta</t>
        </is>
      </c>
      <c r="C29" s="38" t="inlineStr">
        <is>
          <t>Pass</t>
        </is>
      </c>
      <c r="D29" s="38" t="inlineStr">
        <is>
          <t>Pass</t>
        </is>
      </c>
      <c r="E29" s="36" t="inlineStr">
        <is>
          <t>Yes</t>
        </is>
      </c>
      <c r="F29" s="25" t="inlineStr">
        <is>
          <t>—</t>
        </is>
      </c>
    </row>
    <row r="30">
      <c r="A30" s="36" t="n">
        <v>29</v>
      </c>
      <c r="B30" s="37" t="inlineStr">
        <is>
          <t>Majestic @ Kiara Reserve</t>
        </is>
      </c>
      <c r="C30" s="41" t="inlineStr">
        <is>
          <t>Needs ruling</t>
        </is>
      </c>
      <c r="D30" s="41" t="inlineStr">
        <is>
          <t>Needs ruling</t>
        </is>
      </c>
      <c r="E30" s="36" t="inlineStr">
        <is>
          <t>Yes</t>
        </is>
      </c>
      <c r="F30" s="25" t="inlineStr">
        <is>
          <t>—</t>
        </is>
      </c>
    </row>
    <row r="31">
      <c r="A31" s="36" t="n">
        <v>30</v>
      </c>
      <c r="B31" s="37" t="inlineStr">
        <is>
          <t>St. Regis Residences Kuala Lumpur</t>
        </is>
      </c>
      <c r="C31" s="41" t="inlineStr">
        <is>
          <t>Needs ruling</t>
        </is>
      </c>
      <c r="D31" s="41" t="inlineStr">
        <is>
          <t>Needs ruling</t>
        </is>
      </c>
      <c r="E31" s="36" t="inlineStr">
        <is>
          <t>Yes</t>
        </is>
      </c>
      <c r="F31" s="25" t="inlineStr">
        <is>
          <t>—</t>
        </is>
      </c>
    </row>
    <row r="32">
      <c r="A32" s="36" t="n">
        <v>31</v>
      </c>
      <c r="B32" s="37" t="inlineStr">
        <is>
          <t>Aster Hill Sri Petaling</t>
        </is>
      </c>
      <c r="C32" s="41" t="inlineStr">
        <is>
          <t>Needs ruling</t>
        </is>
      </c>
      <c r="D32" s="41" t="inlineStr">
        <is>
          <t>Needs ruling</t>
        </is>
      </c>
      <c r="E32" s="36" t="inlineStr">
        <is>
          <t>Yes</t>
        </is>
      </c>
      <c r="F32" s="25" t="inlineStr">
        <is>
          <t>—</t>
        </is>
      </c>
    </row>
    <row r="33">
      <c r="A33" s="36" t="n">
        <v>32</v>
      </c>
      <c r="B33" s="37" t="inlineStr">
        <is>
          <t>Exsim Project</t>
        </is>
      </c>
      <c r="C33" s="38" t="inlineStr">
        <is>
          <t>Pass</t>
        </is>
      </c>
      <c r="D33" s="38" t="inlineStr">
        <is>
          <t>Pass</t>
        </is>
      </c>
      <c r="E33" s="36" t="inlineStr">
        <is>
          <t>Yes</t>
        </is>
      </c>
      <c r="F33" s="25" t="inlineStr">
        <is>
          <t>—</t>
        </is>
      </c>
    </row>
    <row r="34">
      <c r="A34" s="36" t="n">
        <v>33</v>
      </c>
      <c r="B34" s="37" t="inlineStr">
        <is>
          <t>Kensho @ Taman Desa</t>
        </is>
      </c>
      <c r="C34" s="38" t="inlineStr">
        <is>
          <t>Pass</t>
        </is>
      </c>
      <c r="D34" s="38" t="inlineStr">
        <is>
          <t>Pass</t>
        </is>
      </c>
      <c r="E34" s="36" t="inlineStr">
        <is>
          <t>Yes</t>
        </is>
      </c>
      <c r="F34" s="25" t="inlineStr">
        <is>
          <t>—</t>
        </is>
      </c>
    </row>
    <row r="35">
      <c r="A35" s="36" t="n">
        <v>34</v>
      </c>
      <c r="B35" s="37" t="inlineStr">
        <is>
          <t>Aetas Taman Desa</t>
        </is>
      </c>
      <c r="C35" s="41" t="inlineStr">
        <is>
          <t>Needs ruling</t>
        </is>
      </c>
      <c r="D35" s="38" t="inlineStr">
        <is>
          <t>Pass</t>
        </is>
      </c>
      <c r="E35" s="36" t="inlineStr">
        <is>
          <t>No</t>
        </is>
      </c>
      <c r="F35" s="25" t="inlineStr">
        <is>
          <t>Developer: CONFLICT -&gt; PASS</t>
        </is>
      </c>
    </row>
    <row r="36">
      <c r="A36" s="36" t="n">
        <v>35</v>
      </c>
      <c r="B36" s="37" t="inlineStr">
        <is>
          <t>Southpoint Residences (IGB )</t>
        </is>
      </c>
      <c r="C36" s="38" t="inlineStr">
        <is>
          <t>Pass</t>
        </is>
      </c>
      <c r="D36" s="38" t="inlineStr">
        <is>
          <t>Pass</t>
        </is>
      </c>
      <c r="E36" s="36" t="inlineStr">
        <is>
          <t>Yes</t>
        </is>
      </c>
      <c r="F36" s="25" t="inlineStr">
        <is>
          <t>—</t>
        </is>
      </c>
    </row>
    <row r="37">
      <c r="A37" s="36" t="n">
        <v>36</v>
      </c>
      <c r="B37" s="37" t="inlineStr">
        <is>
          <t>Park Green at Pavilion Bukit Jalil</t>
        </is>
      </c>
      <c r="C37" s="38" t="inlineStr">
        <is>
          <t>Pass</t>
        </is>
      </c>
      <c r="D37" s="38" t="inlineStr">
        <is>
          <t>Pass</t>
        </is>
      </c>
      <c r="E37" s="36" t="inlineStr">
        <is>
          <t>Yes</t>
        </is>
      </c>
      <c r="F37" s="25" t="inlineStr">
        <is>
          <t>—</t>
        </is>
      </c>
    </row>
    <row r="38">
      <c r="A38" s="36" t="n">
        <v>37</v>
      </c>
      <c r="B38" s="37" t="inlineStr">
        <is>
          <t>OAKA Residences, Bukit Jalil</t>
        </is>
      </c>
      <c r="C38" s="38" t="inlineStr">
        <is>
          <t>Pass</t>
        </is>
      </c>
      <c r="D38" s="38" t="inlineStr">
        <is>
          <t>Pass</t>
        </is>
      </c>
      <c r="E38" s="36" t="inlineStr">
        <is>
          <t>Yes</t>
        </is>
      </c>
      <c r="F38" s="25" t="inlineStr">
        <is>
          <t>—</t>
        </is>
      </c>
    </row>
    <row r="39">
      <c r="A39" s="36" t="n">
        <v>38</v>
      </c>
      <c r="B39" s="37" t="inlineStr">
        <is>
          <t>Senja The Jewel Collection</t>
        </is>
      </c>
      <c r="C39" s="41" t="inlineStr">
        <is>
          <t>Needs ruling</t>
        </is>
      </c>
      <c r="D39" s="41" t="inlineStr">
        <is>
          <t>Needs ruling</t>
        </is>
      </c>
      <c r="E39" s="36" t="inlineStr">
        <is>
          <t>Yes</t>
        </is>
      </c>
      <c r="F39" s="25" t="inlineStr">
        <is>
          <t>—</t>
        </is>
      </c>
    </row>
    <row r="40">
      <c r="A40" s="36" t="n">
        <v>39</v>
      </c>
      <c r="B40" s="37" t="inlineStr">
        <is>
          <t>18 Madge Uthant</t>
        </is>
      </c>
      <c r="C40" s="41" t="inlineStr">
        <is>
          <t>Needs ruling</t>
        </is>
      </c>
      <c r="D40" s="41" t="inlineStr">
        <is>
          <t>Needs ruling</t>
        </is>
      </c>
      <c r="E40" s="36" t="inlineStr">
        <is>
          <t>Yes</t>
        </is>
      </c>
      <c r="F40" s="25" t="inlineStr">
        <is>
          <t>—</t>
        </is>
      </c>
    </row>
    <row r="41">
      <c r="A41" s="36" t="n">
        <v>40</v>
      </c>
      <c r="B41" s="37" t="inlineStr">
        <is>
          <t>Aria Luxury Residence @ KLCC</t>
        </is>
      </c>
      <c r="C41" s="39" t="inlineStr">
        <is>
          <t>Partial</t>
        </is>
      </c>
      <c r="D41" s="39" t="inlineStr">
        <is>
          <t>Partial</t>
        </is>
      </c>
      <c r="E41" s="36" t="inlineStr">
        <is>
          <t>Yes</t>
        </is>
      </c>
      <c r="F41" s="25" t="inlineStr">
        <is>
          <t>—</t>
        </is>
      </c>
    </row>
    <row r="42">
      <c r="A42" s="36" t="n">
        <v>41</v>
      </c>
      <c r="B42" s="37" t="inlineStr">
        <is>
          <t>AT6 Residensi @ Ampang Tengah</t>
        </is>
      </c>
      <c r="C42" s="41" t="inlineStr">
        <is>
          <t>Needs ruling</t>
        </is>
      </c>
      <c r="D42" s="41" t="inlineStr">
        <is>
          <t>Needs ruling</t>
        </is>
      </c>
      <c r="E42" s="36" t="inlineStr">
        <is>
          <t>Yes</t>
        </is>
      </c>
      <c r="F42" s="25" t="inlineStr">
        <is>
          <t>—</t>
        </is>
      </c>
    </row>
    <row r="43">
      <c r="A43" s="36" t="n">
        <v>42</v>
      </c>
      <c r="B43" s="37" t="inlineStr">
        <is>
          <t>Clouthaus KLCC</t>
        </is>
      </c>
      <c r="C43" s="41" t="inlineStr">
        <is>
          <t>Needs ruling</t>
        </is>
      </c>
      <c r="D43" s="41" t="inlineStr">
        <is>
          <t>Needs ruling</t>
        </is>
      </c>
      <c r="E43" s="36" t="inlineStr">
        <is>
          <t>Yes</t>
        </is>
      </c>
      <c r="F43" s="25" t="inlineStr">
        <is>
          <t>—</t>
        </is>
      </c>
    </row>
    <row r="44">
      <c r="A44" s="36" t="n">
        <v>43</v>
      </c>
      <c r="B44" s="37" t="inlineStr">
        <is>
          <t>Conlay by E&amp;O</t>
        </is>
      </c>
      <c r="C44" s="41" t="inlineStr">
        <is>
          <t>Needs ruling</t>
        </is>
      </c>
      <c r="D44" s="41" t="inlineStr">
        <is>
          <t>Needs ruling</t>
        </is>
      </c>
      <c r="E44" s="36" t="inlineStr">
        <is>
          <t>Yes</t>
        </is>
      </c>
      <c r="F44" s="25" t="inlineStr">
        <is>
          <t>—</t>
        </is>
      </c>
    </row>
    <row r="45">
      <c r="A45" s="36" t="n">
        <v>44</v>
      </c>
      <c r="B45" s="37" t="inlineStr">
        <is>
          <t>Core Residence @ TRX</t>
        </is>
      </c>
      <c r="C45" s="41" t="inlineStr">
        <is>
          <t>Needs ruling</t>
        </is>
      </c>
      <c r="D45" s="41" t="inlineStr">
        <is>
          <t>Needs ruling</t>
        </is>
      </c>
      <c r="E45" s="36" t="inlineStr">
        <is>
          <t>Yes</t>
        </is>
      </c>
      <c r="F45" s="25" t="inlineStr">
        <is>
          <t>—</t>
        </is>
      </c>
    </row>
    <row r="46">
      <c r="A46" s="36" t="n">
        <v>45</v>
      </c>
      <c r="B46" s="37" t="inlineStr">
        <is>
          <t>Dawn KLCC</t>
        </is>
      </c>
      <c r="C46" s="41" t="inlineStr">
        <is>
          <t>Needs ruling</t>
        </is>
      </c>
      <c r="D46" s="41" t="inlineStr">
        <is>
          <t>Needs ruling</t>
        </is>
      </c>
      <c r="E46" s="36" t="inlineStr">
        <is>
          <t>Yes</t>
        </is>
      </c>
      <c r="F46" s="25" t="inlineStr">
        <is>
          <t>—</t>
        </is>
      </c>
    </row>
    <row r="47">
      <c r="A47" s="36" t="n">
        <v>46</v>
      </c>
      <c r="B47" s="37" t="inlineStr">
        <is>
          <t>Eaton Residences by Sutera @ KLCC</t>
        </is>
      </c>
      <c r="C47" s="41" t="inlineStr">
        <is>
          <t>Needs ruling</t>
        </is>
      </c>
      <c r="D47" s="41" t="inlineStr">
        <is>
          <t>Needs ruling</t>
        </is>
      </c>
      <c r="E47" s="36" t="inlineStr">
        <is>
          <t>Yes</t>
        </is>
      </c>
      <c r="F47" s="25" t="inlineStr">
        <is>
          <t>—</t>
        </is>
      </c>
    </row>
    <row r="48">
      <c r="A48" s="36" t="n">
        <v>47</v>
      </c>
      <c r="B48" s="37" t="inlineStr">
        <is>
          <t>Platinum Face Suite 2 KLCC</t>
        </is>
      </c>
      <c r="C48" s="41" t="inlineStr">
        <is>
          <t>Needs ruling</t>
        </is>
      </c>
      <c r="D48" s="41" t="inlineStr">
        <is>
          <t>Needs ruling</t>
        </is>
      </c>
      <c r="E48" s="36" t="inlineStr">
        <is>
          <t>Yes</t>
        </is>
      </c>
      <c r="F48" s="25" t="inlineStr">
        <is>
          <t>—</t>
        </is>
      </c>
    </row>
    <row r="49">
      <c r="A49" s="36" t="n">
        <v>48</v>
      </c>
      <c r="B49" s="37" t="inlineStr">
        <is>
          <t>Armani Hallson @ Jalan Ampang</t>
        </is>
      </c>
      <c r="C49" s="41" t="inlineStr">
        <is>
          <t>Needs ruling</t>
        </is>
      </c>
      <c r="D49" s="41" t="inlineStr">
        <is>
          <t>Needs ruling</t>
        </is>
      </c>
      <c r="E49" s="36" t="inlineStr">
        <is>
          <t>Yes</t>
        </is>
      </c>
      <c r="F49" s="25" t="inlineStr">
        <is>
          <t>—</t>
        </is>
      </c>
    </row>
    <row r="50">
      <c r="A50" s="36" t="n">
        <v>49</v>
      </c>
      <c r="B50" s="37" t="inlineStr">
        <is>
          <t>Orion Residence</t>
        </is>
      </c>
      <c r="C50" s="41" t="inlineStr">
        <is>
          <t>Needs ruling</t>
        </is>
      </c>
      <c r="D50" s="41" t="inlineStr">
        <is>
          <t>Needs ruling</t>
        </is>
      </c>
      <c r="E50" s="36" t="inlineStr">
        <is>
          <t>Yes</t>
        </is>
      </c>
      <c r="F50" s="25" t="inlineStr">
        <is>
          <t>—</t>
        </is>
      </c>
    </row>
    <row r="51">
      <c r="A51" s="36" t="n">
        <v>50</v>
      </c>
      <c r="B51" s="37" t="inlineStr">
        <is>
          <t>PSQ Pavilion Square</t>
        </is>
      </c>
      <c r="C51" s="41" t="inlineStr">
        <is>
          <t>Needs ruling</t>
        </is>
      </c>
      <c r="D51" s="41" t="inlineStr">
        <is>
          <t>Needs ruling</t>
        </is>
      </c>
      <c r="E51" s="36" t="inlineStr">
        <is>
          <t>Yes</t>
        </is>
      </c>
      <c r="F51" s="25" t="inlineStr">
        <is>
          <t>—</t>
        </is>
      </c>
    </row>
    <row r="52">
      <c r="A52" s="36" t="n">
        <v>51</v>
      </c>
      <c r="B52" s="37" t="inlineStr">
        <is>
          <t>Katana 2 Residence</t>
        </is>
      </c>
      <c r="C52" s="38" t="inlineStr">
        <is>
          <t>Pass</t>
        </is>
      </c>
      <c r="D52" s="38" t="inlineStr">
        <is>
          <t>Pass</t>
        </is>
      </c>
      <c r="E52" s="36" t="inlineStr">
        <is>
          <t>Yes</t>
        </is>
      </c>
      <c r="F52" s="25" t="inlineStr">
        <is>
          <t>—</t>
        </is>
      </c>
    </row>
    <row r="53">
      <c r="A53" s="36" t="n">
        <v>52</v>
      </c>
      <c r="B53" s="37" t="inlineStr">
        <is>
          <t>The Centrix</t>
        </is>
      </c>
      <c r="C53" s="38" t="inlineStr">
        <is>
          <t>Pass</t>
        </is>
      </c>
      <c r="D53" s="38" t="inlineStr">
        <is>
          <t>Pass</t>
        </is>
      </c>
      <c r="E53" s="36" t="inlineStr">
        <is>
          <t>Yes</t>
        </is>
      </c>
      <c r="F53" s="25" t="inlineStr">
        <is>
          <t>—</t>
        </is>
      </c>
    </row>
    <row r="54">
      <c r="A54" s="36" t="n">
        <v>53</v>
      </c>
      <c r="B54" s="37" t="inlineStr">
        <is>
          <t>Quill Residences KLCC</t>
        </is>
      </c>
      <c r="C54" s="41" t="inlineStr">
        <is>
          <t>Needs ruling</t>
        </is>
      </c>
      <c r="D54" s="41" t="inlineStr">
        <is>
          <t>Needs ruling</t>
        </is>
      </c>
      <c r="E54" s="36" t="inlineStr">
        <is>
          <t>Yes</t>
        </is>
      </c>
      <c r="F54" s="25" t="inlineStr">
        <is>
          <t>—</t>
        </is>
      </c>
    </row>
    <row r="55">
      <c r="A55" s="36" t="n">
        <v>54</v>
      </c>
      <c r="B55" s="37" t="inlineStr">
        <is>
          <t>Royal Lexis KL</t>
        </is>
      </c>
      <c r="C55" s="38" t="inlineStr">
        <is>
          <t>Pass</t>
        </is>
      </c>
      <c r="D55" s="38" t="inlineStr">
        <is>
          <t>Pass</t>
        </is>
      </c>
      <c r="E55" s="36" t="inlineStr">
        <is>
          <t>Yes</t>
        </is>
      </c>
      <c r="F55" s="25" t="inlineStr">
        <is>
          <t>—</t>
        </is>
      </c>
    </row>
    <row r="56">
      <c r="A56" s="36" t="n">
        <v>55</v>
      </c>
      <c r="B56" s="37" t="inlineStr">
        <is>
          <t>SO Sofitel Residences KLCC</t>
        </is>
      </c>
      <c r="C56" s="38" t="inlineStr">
        <is>
          <t>Pass</t>
        </is>
      </c>
      <c r="D56" s="38" t="inlineStr">
        <is>
          <t>Pass</t>
        </is>
      </c>
      <c r="E56" s="36" t="inlineStr">
        <is>
          <t>Yes</t>
        </is>
      </c>
      <c r="F56" s="25" t="inlineStr">
        <is>
          <t>—</t>
        </is>
      </c>
    </row>
    <row r="57">
      <c r="A57" s="36" t="n">
        <v>56</v>
      </c>
      <c r="B57" s="37" t="inlineStr">
        <is>
          <t>Le Nouvel KLCC</t>
        </is>
      </c>
      <c r="C57" s="38" t="inlineStr">
        <is>
          <t>Pass</t>
        </is>
      </c>
      <c r="D57" s="38" t="inlineStr">
        <is>
          <t>Pass</t>
        </is>
      </c>
      <c r="E57" s="36" t="inlineStr">
        <is>
          <t>Yes</t>
        </is>
      </c>
      <c r="F57" s="25" t="inlineStr">
        <is>
          <t>—</t>
        </is>
      </c>
    </row>
    <row r="58">
      <c r="A58" s="36" t="n">
        <v>57</v>
      </c>
      <c r="B58" s="37" t="inlineStr">
        <is>
          <t>Star Residences KLCC</t>
        </is>
      </c>
      <c r="C58" s="38" t="inlineStr">
        <is>
          <t>Pass</t>
        </is>
      </c>
      <c r="D58" s="38" t="inlineStr">
        <is>
          <t>Pass</t>
        </is>
      </c>
      <c r="E58" s="36" t="inlineStr">
        <is>
          <t>Yes</t>
        </is>
      </c>
      <c r="F58" s="25" t="inlineStr">
        <is>
          <t>—</t>
        </is>
      </c>
    </row>
    <row r="59">
      <c r="A59" s="36" t="n">
        <v>58</v>
      </c>
      <c r="B59" s="37" t="inlineStr">
        <is>
          <t>Jewel by Oxley KLCC</t>
        </is>
      </c>
      <c r="C59" s="38" t="inlineStr">
        <is>
          <t>Pass</t>
        </is>
      </c>
      <c r="D59" s="38" t="inlineStr">
        <is>
          <t>Pass</t>
        </is>
      </c>
      <c r="E59" s="36" t="inlineStr">
        <is>
          <t>Yes</t>
        </is>
      </c>
      <c r="F59" s="25" t="inlineStr">
        <is>
          <t>—</t>
        </is>
      </c>
    </row>
    <row r="60">
      <c r="A60" s="36" t="n">
        <v>59</v>
      </c>
      <c r="B60" s="37" t="inlineStr">
        <is>
          <t>Golden Crown Residence</t>
        </is>
      </c>
      <c r="C60" s="38" t="inlineStr">
        <is>
          <t>Pass</t>
        </is>
      </c>
      <c r="D60" s="38" t="inlineStr">
        <is>
          <t>Pass</t>
        </is>
      </c>
      <c r="E60" s="36" t="inlineStr">
        <is>
          <t>Yes</t>
        </is>
      </c>
      <c r="F60" s="25" t="inlineStr">
        <is>
          <t>—</t>
        </is>
      </c>
    </row>
    <row r="61">
      <c r="A61" s="36" t="n">
        <v>60</v>
      </c>
      <c r="B61" s="37" t="inlineStr">
        <is>
          <t>SWNK Houze @ BBCC (Bukit Bintang City Centre)</t>
        </is>
      </c>
      <c r="C61" s="38" t="inlineStr">
        <is>
          <t>Pass</t>
        </is>
      </c>
      <c r="D61" s="38" t="inlineStr">
        <is>
          <t>Pass</t>
        </is>
      </c>
      <c r="E61" s="36" t="inlineStr">
        <is>
          <t>Yes</t>
        </is>
      </c>
      <c r="F61" s="25" t="inlineStr">
        <is>
          <t>—</t>
        </is>
      </c>
    </row>
    <row r="62">
      <c r="A62" s="36" t="n">
        <v>61</v>
      </c>
      <c r="B62" s="37" t="inlineStr">
        <is>
          <t>Times Square 2 Residences Kuala Lumpur</t>
        </is>
      </c>
      <c r="C62" s="38" t="inlineStr">
        <is>
          <t>Pass</t>
        </is>
      </c>
      <c r="D62" s="38" t="inlineStr">
        <is>
          <t>Pass</t>
        </is>
      </c>
      <c r="E62" s="36" t="inlineStr">
        <is>
          <t>Yes</t>
        </is>
      </c>
      <c r="F62" s="25" t="inlineStr">
        <is>
          <t>—</t>
        </is>
      </c>
    </row>
    <row r="63">
      <c r="A63" s="36" t="n">
        <v>62</v>
      </c>
      <c r="B63" s="37" t="inlineStr">
        <is>
          <t>The Manor KLCC</t>
        </is>
      </c>
      <c r="C63" s="38" t="inlineStr">
        <is>
          <t>Pass</t>
        </is>
      </c>
      <c r="D63" s="38" t="inlineStr">
        <is>
          <t>Pass</t>
        </is>
      </c>
      <c r="E63" s="36" t="inlineStr">
        <is>
          <t>Yes</t>
        </is>
      </c>
      <c r="F63" s="25" t="inlineStr">
        <is>
          <t>—</t>
        </is>
      </c>
    </row>
    <row r="64">
      <c r="A64" s="36" t="n">
        <v>63</v>
      </c>
      <c r="B64" s="37" t="inlineStr">
        <is>
          <t>TRX Residences</t>
        </is>
      </c>
      <c r="C64" s="38" t="inlineStr">
        <is>
          <t>Pass</t>
        </is>
      </c>
      <c r="D64" s="38" t="inlineStr">
        <is>
          <t>Pass</t>
        </is>
      </c>
      <c r="E64" s="36" t="inlineStr">
        <is>
          <t>Yes</t>
        </is>
      </c>
      <c r="F64" s="25" t="inlineStr">
        <is>
          <t>—</t>
        </is>
      </c>
    </row>
    <row r="65">
      <c r="A65" s="36" t="n">
        <v>64</v>
      </c>
      <c r="B65" s="37" t="inlineStr">
        <is>
          <t>The Oval Kuala Lumpur</t>
        </is>
      </c>
      <c r="C65" s="38" t="inlineStr">
        <is>
          <t>Pass</t>
        </is>
      </c>
      <c r="D65" s="38" t="inlineStr">
        <is>
          <t>Pass</t>
        </is>
      </c>
      <c r="E65" s="36" t="inlineStr">
        <is>
          <t>Yes</t>
        </is>
      </c>
      <c r="F65" s="25" t="inlineStr">
        <is>
          <t>—</t>
        </is>
      </c>
    </row>
    <row r="66">
      <c r="A66" s="36" t="n">
        <v>65</v>
      </c>
      <c r="B66" s="37" t="inlineStr">
        <is>
          <t>The Ritz- Carlton Residences</t>
        </is>
      </c>
      <c r="C66" s="41" t="inlineStr">
        <is>
          <t>Needs ruling</t>
        </is>
      </c>
      <c r="D66" s="38" t="inlineStr">
        <is>
          <t>Pass</t>
        </is>
      </c>
      <c r="E66" s="36" t="inlineStr">
        <is>
          <t>No</t>
        </is>
      </c>
      <c r="F66" s="25" t="inlineStr">
        <is>
          <t>Area: CONFLICT -&gt; PASS</t>
        </is>
      </c>
    </row>
    <row r="67">
      <c r="A67" s="36" t="n">
        <v>66</v>
      </c>
      <c r="B67" s="37" t="inlineStr">
        <is>
          <t>The Stride Office @ BBCC</t>
        </is>
      </c>
      <c r="C67" s="38" t="inlineStr">
        <is>
          <t>Pass</t>
        </is>
      </c>
      <c r="D67" s="38" t="inlineStr">
        <is>
          <t>Pass</t>
        </is>
      </c>
      <c r="E67" s="36" t="inlineStr">
        <is>
          <t>Yes</t>
        </is>
      </c>
      <c r="F67" s="25" t="inlineStr">
        <is>
          <t>—</t>
        </is>
      </c>
    </row>
    <row r="68">
      <c r="A68" s="36" t="n">
        <v>67</v>
      </c>
      <c r="B68" s="37" t="inlineStr">
        <is>
          <t>Rimbun Saujana Residency</t>
        </is>
      </c>
      <c r="C68" s="38" t="inlineStr">
        <is>
          <t>Pass</t>
        </is>
      </c>
      <c r="D68" s="38" t="inlineStr">
        <is>
          <t>Pass</t>
        </is>
      </c>
      <c r="E68" s="36" t="inlineStr">
        <is>
          <t>Yes</t>
        </is>
      </c>
      <c r="F68" s="25" t="inlineStr">
        <is>
          <t>—</t>
        </is>
      </c>
    </row>
    <row r="69">
      <c r="A69" s="36" t="n">
        <v>68</v>
      </c>
      <c r="B69" s="37" t="inlineStr">
        <is>
          <t>Luminar Residence Subang by BRDB</t>
        </is>
      </c>
      <c r="C69" s="38" t="inlineStr">
        <is>
          <t>Pass</t>
        </is>
      </c>
      <c r="D69" s="38" t="inlineStr">
        <is>
          <t>Pass</t>
        </is>
      </c>
      <c r="E69" s="36" t="inlineStr">
        <is>
          <t>Yes</t>
        </is>
      </c>
      <c r="F69" s="25" t="inlineStr">
        <is>
          <t>—</t>
        </is>
      </c>
    </row>
    <row r="70">
      <c r="A70" s="36" t="n">
        <v>69</v>
      </c>
      <c r="B70" s="37" t="inlineStr">
        <is>
          <t>Accent PJ</t>
        </is>
      </c>
      <c r="C70" s="38" t="inlineStr">
        <is>
          <t>Pass</t>
        </is>
      </c>
      <c r="D70" s="38" t="inlineStr">
        <is>
          <t>Pass</t>
        </is>
      </c>
      <c r="E70" s="36" t="inlineStr">
        <is>
          <t>Yes</t>
        </is>
      </c>
      <c r="F70" s="25" t="inlineStr">
        <is>
          <t>—</t>
        </is>
      </c>
    </row>
    <row r="71">
      <c r="A71" s="36" t="n">
        <v>70</v>
      </c>
      <c r="B71" s="37" t="inlineStr">
        <is>
          <t>26 Araville PJ</t>
        </is>
      </c>
      <c r="C71" s="38" t="inlineStr">
        <is>
          <t>Pass</t>
        </is>
      </c>
      <c r="D71" s="38" t="inlineStr">
        <is>
          <t>Pass</t>
        </is>
      </c>
      <c r="E71" s="36" t="inlineStr">
        <is>
          <t>Yes</t>
        </is>
      </c>
      <c r="F71" s="25" t="inlineStr">
        <is>
          <t>—</t>
        </is>
      </c>
    </row>
    <row r="72">
      <c r="A72" s="36" t="n">
        <v>71</v>
      </c>
      <c r="B72" s="37" t="inlineStr">
        <is>
          <t>The Atera, PJ by Paramount Property</t>
        </is>
      </c>
      <c r="C72" s="38" t="inlineStr">
        <is>
          <t>Pass</t>
        </is>
      </c>
      <c r="D72" s="38" t="inlineStr">
        <is>
          <t>Pass</t>
        </is>
      </c>
      <c r="E72" s="36" t="inlineStr">
        <is>
          <t>Yes</t>
        </is>
      </c>
      <c r="F72" s="25" t="inlineStr">
        <is>
          <t>—</t>
        </is>
      </c>
    </row>
    <row r="73">
      <c r="A73" s="36" t="n">
        <v>72</v>
      </c>
      <c r="B73" s="37" t="inlineStr">
        <is>
          <t>Anyara Hills</t>
        </is>
      </c>
      <c r="C73" s="38" t="inlineStr">
        <is>
          <t>Pass</t>
        </is>
      </c>
      <c r="D73" s="38" t="inlineStr">
        <is>
          <t>Pass</t>
        </is>
      </c>
      <c r="E73" s="36" t="inlineStr">
        <is>
          <t>Yes</t>
        </is>
      </c>
      <c r="F73" s="25" t="inlineStr">
        <is>
          <t>—</t>
        </is>
      </c>
    </row>
    <row r="74">
      <c r="A74" s="36" t="n">
        <v>73</v>
      </c>
      <c r="B74" s="37" t="inlineStr">
        <is>
          <t>Yanu Hills @ Bon Estates</t>
        </is>
      </c>
      <c r="C74" s="38" t="inlineStr">
        <is>
          <t>Pass</t>
        </is>
      </c>
      <c r="D74" s="38" t="inlineStr">
        <is>
          <t>Pass</t>
        </is>
      </c>
      <c r="E74" s="36" t="inlineStr">
        <is>
          <t>Yes</t>
        </is>
      </c>
      <c r="F74" s="25" t="inlineStr">
        <is>
          <t>—</t>
        </is>
      </c>
    </row>
    <row r="75">
      <c r="A75" s="36" t="n">
        <v>74</v>
      </c>
      <c r="B75" s="37" t="inlineStr">
        <is>
          <t>Rafflesia @ Hill 4</t>
        </is>
      </c>
      <c r="C75" s="38" t="inlineStr">
        <is>
          <t>Pass</t>
        </is>
      </c>
      <c r="D75" s="38" t="inlineStr">
        <is>
          <t>Pass</t>
        </is>
      </c>
      <c r="E75" s="36" t="inlineStr">
        <is>
          <t>Yes</t>
        </is>
      </c>
      <c r="F75" s="25" t="inlineStr">
        <is>
          <t>—</t>
        </is>
      </c>
    </row>
    <row r="76">
      <c r="A76" s="36" t="n">
        <v>75</v>
      </c>
      <c r="B76" s="37" t="inlineStr">
        <is>
          <t>DAYA Residence</t>
        </is>
      </c>
      <c r="C76" s="38" t="inlineStr">
        <is>
          <t>Pass</t>
        </is>
      </c>
      <c r="D76" s="38" t="inlineStr">
        <is>
          <t>Pass</t>
        </is>
      </c>
      <c r="E76" s="36" t="inlineStr">
        <is>
          <t>Yes</t>
        </is>
      </c>
      <c r="F76" s="25" t="inlineStr">
        <is>
          <t>—</t>
        </is>
      </c>
    </row>
    <row r="77">
      <c r="A77" s="36" t="n">
        <v>76</v>
      </c>
      <c r="B77" s="37" t="inlineStr">
        <is>
          <t>Vila Setara Happy Garden</t>
        </is>
      </c>
      <c r="C77" s="38" t="inlineStr">
        <is>
          <t>Pass</t>
        </is>
      </c>
      <c r="D77" s="38" t="inlineStr">
        <is>
          <t>Pass</t>
        </is>
      </c>
      <c r="E77" s="36" t="inlineStr">
        <is>
          <t>Yes</t>
        </is>
      </c>
      <c r="F77" s="25" t="inlineStr">
        <is>
          <t>—</t>
        </is>
      </c>
    </row>
    <row r="78">
      <c r="A78" s="36" t="n">
        <v>77</v>
      </c>
      <c r="B78" s="37" t="inlineStr">
        <is>
          <t>E&amp;O – City of Elmina (Laman Embun Commercial)</t>
        </is>
      </c>
      <c r="C78" s="38" t="inlineStr">
        <is>
          <t>Pass</t>
        </is>
      </c>
      <c r="D78" s="38" t="inlineStr">
        <is>
          <t>Pass</t>
        </is>
      </c>
      <c r="E78" s="36" t="inlineStr">
        <is>
          <t>Yes</t>
        </is>
      </c>
      <c r="F78" s="25" t="inlineStr">
        <is>
          <t>—</t>
        </is>
      </c>
    </row>
    <row r="79">
      <c r="A79" s="36" t="n">
        <v>78</v>
      </c>
      <c r="B79" s="37" t="inlineStr">
        <is>
          <t>Aspire office @ KL ecocity</t>
        </is>
      </c>
      <c r="C79" s="38" t="inlineStr">
        <is>
          <t>Pass</t>
        </is>
      </c>
      <c r="D79" s="38" t="inlineStr">
        <is>
          <t>Pass</t>
        </is>
      </c>
      <c r="E79" s="36" t="inlineStr">
        <is>
          <t>Yes</t>
        </is>
      </c>
      <c r="F79" s="25" t="inlineStr">
        <is>
          <t>—</t>
        </is>
      </c>
    </row>
    <row r="80">
      <c r="A80" s="36" t="n">
        <v>79</v>
      </c>
      <c r="B80" s="37" t="inlineStr">
        <is>
          <t>The MET, Corporate Tower</t>
        </is>
      </c>
      <c r="C80" s="38" t="inlineStr">
        <is>
          <t>Pass</t>
        </is>
      </c>
      <c r="D80" s="38" t="inlineStr">
        <is>
          <t>Pass</t>
        </is>
      </c>
      <c r="E80" s="36" t="inlineStr">
        <is>
          <t>Yes</t>
        </is>
      </c>
      <c r="F80" s="25" t="inlineStr">
        <is>
          <t>—</t>
        </is>
      </c>
    </row>
    <row r="81">
      <c r="A81" s="36" t="n">
        <v>80</v>
      </c>
      <c r="B81" s="37" t="inlineStr">
        <is>
          <t>Sierra Hijau (Landed)</t>
        </is>
      </c>
      <c r="C81" s="38" t="inlineStr">
        <is>
          <t>Pass</t>
        </is>
      </c>
      <c r="D81" s="38" t="inlineStr">
        <is>
          <t>Pass</t>
        </is>
      </c>
      <c r="E81" s="36" t="inlineStr">
        <is>
          <t>Yes</t>
        </is>
      </c>
      <c r="F81" s="25" t="inlineStr">
        <is>
          <t>—</t>
        </is>
      </c>
    </row>
    <row r="82">
      <c r="A82" s="36" t="n">
        <v>81</v>
      </c>
      <c r="B82" s="37" t="inlineStr">
        <is>
          <t>Melbourne Square</t>
        </is>
      </c>
      <c r="C82" s="38" t="inlineStr">
        <is>
          <t>Pass</t>
        </is>
      </c>
      <c r="D82" s="38" t="inlineStr">
        <is>
          <t>Pass</t>
        </is>
      </c>
      <c r="E82" s="36" t="inlineStr">
        <is>
          <t>Yes</t>
        </is>
      </c>
      <c r="F82" s="25" t="inlineStr">
        <is>
          <t>—</t>
        </is>
      </c>
    </row>
    <row r="83">
      <c r="A83" s="36" t="n">
        <v>82</v>
      </c>
      <c r="B83" s="37" t="inlineStr">
        <is>
          <t>Lagenda Tunku (Villa Gemilang)</t>
        </is>
      </c>
      <c r="C83" s="38" t="inlineStr">
        <is>
          <t>Pass</t>
        </is>
      </c>
      <c r="D83" s="38" t="inlineStr">
        <is>
          <t>Pass</t>
        </is>
      </c>
      <c r="E83" s="36" t="inlineStr">
        <is>
          <t>Yes</t>
        </is>
      </c>
      <c r="F83" s="25" t="inlineStr">
        <is>
          <t>—</t>
        </is>
      </c>
    </row>
    <row r="84">
      <c r="A84" s="36" t="n">
        <v>83</v>
      </c>
      <c r="B84" s="37" t="inlineStr">
        <is>
          <t>Ashbourne</t>
        </is>
      </c>
      <c r="C84" s="38" t="inlineStr">
        <is>
          <t>Pass</t>
        </is>
      </c>
      <c r="D84" s="38" t="inlineStr">
        <is>
          <t>Pass</t>
        </is>
      </c>
      <c r="E84" s="36" t="inlineStr">
        <is>
          <t>Yes</t>
        </is>
      </c>
      <c r="F84" s="25" t="inlineStr">
        <is>
          <t>—</t>
        </is>
      </c>
    </row>
    <row r="85"/>
    <row r="86">
      <c r="B86" s="2" t="inlineStr">
        <is>
          <t>Projects with the same overall result in both runs</t>
        </is>
      </c>
      <c r="C86" s="2">
        <f>COUNTIF($E$2:$E$84,"Yes")</f>
        <v/>
      </c>
      <c r="D86" s="42">
        <f>C86/83</f>
        <v/>
      </c>
    </row>
    <row r="87">
      <c r="B87" s="14" t="inlineStr">
        <is>
          <t>Ignored in the change list: a field moving between NO SOURCE and — (the bot mentioning, or not, a fact the client sheet does not have)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7"/>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3" customWidth="1" min="19" max="19"/>
    <col width="90" customWidth="1" min="20" max="20"/>
  </cols>
  <sheetData>
    <row r="1">
      <c r="A1" s="16" t="inlineStr">
        <is>
          <t>Client Sheet Field Check: RUN 2 on 27 Oct 2026, merged main @ 77118b2, local dev server, chat page, Finder chip, one new conversation per project</t>
        </is>
      </c>
    </row>
    <row r="2" ht="30" customHeight="1">
      <c r="A2" s="17" t="inlineStr">
        <is>
          <t>PASS = matches the client sheet · DIFFERS = worded differently, not contradictory · CONFLICT = the bot's source disagrees with the client sheet (needs a ruling) · NOT STATED = the sheet has a value, the bot said not on record · NO SOURCE = the bot gave a value where the sheet is blank · — = blank in both</t>
        </is>
      </c>
    </row>
    <row r="3"/>
    <row r="4">
      <c r="A4" s="18" t="inlineStr">
        <is>
          <t>#</t>
        </is>
      </c>
      <c r="B4" s="18" t="inlineStr">
        <is>
          <t>Project (client sheet name)</t>
        </is>
      </c>
      <c r="C4" s="18" t="inlineStr">
        <is>
          <t>Overall</t>
        </is>
      </c>
      <c r="D4" s="18" t="inlineStr">
        <is>
          <t>Size</t>
        </is>
      </c>
      <c r="E4" s="18" t="inlineStr">
        <is>
          <t>Rooms</t>
        </is>
      </c>
      <c r="F4" s="18" t="inlineStr">
        <is>
          <t>Nett Price</t>
        </is>
      </c>
      <c r="G4" s="18" t="inlineStr">
        <is>
          <t>Gross Price</t>
        </is>
      </c>
      <c r="H4" s="18" t="inlineStr">
        <is>
          <t>Area</t>
        </is>
      </c>
      <c r="I4" s="18" t="inlineStr">
        <is>
          <t>Developer</t>
        </is>
      </c>
      <c r="J4" s="18" t="inlineStr">
        <is>
          <t>Land Title</t>
        </is>
      </c>
      <c r="K4" s="18" t="inlineStr">
        <is>
          <t>Maintenance Fee</t>
        </is>
      </c>
      <c r="L4" s="18" t="inlineStr">
        <is>
          <t>Tenure</t>
        </is>
      </c>
      <c r="M4" s="18" t="inlineStr">
        <is>
          <t>Total Units</t>
        </is>
      </c>
      <c r="N4" s="18" t="inlineStr">
        <is>
          <t>Total Floors</t>
        </is>
      </c>
      <c r="O4" s="18" t="inlineStr">
        <is>
          <t>Completion / VP</t>
        </is>
      </c>
      <c r="P4" s="18" t="inlineStr">
        <is>
          <t>Top Reasons Why</t>
        </is>
      </c>
      <c r="Q4" s="18" t="inlineStr">
        <is>
          <t>Furnishing</t>
        </is>
      </c>
      <c r="R4" s="18" t="inlineStr">
        <is>
          <t>Car Park Allocation</t>
        </is>
      </c>
      <c r="S4" s="18" t="inlineStr">
        <is>
          <t>Prior overall (24 Oct)</t>
        </is>
      </c>
      <c r="T4" s="18" t="inlineStr">
        <is>
          <t>Notes</t>
        </is>
      </c>
    </row>
    <row r="5">
      <c r="A5" s="36" t="n">
        <v>1</v>
      </c>
      <c r="B5" s="37" t="inlineStr">
        <is>
          <t>Damansara City Residency (DC Residensi)</t>
        </is>
      </c>
      <c r="C5" s="39" t="inlineStr">
        <is>
          <t>Partial</t>
        </is>
      </c>
      <c r="D5" s="22" t="inlineStr">
        <is>
          <t>PASS</t>
        </is>
      </c>
      <c r="E5" s="22" t="inlineStr">
        <is>
          <t>PASS</t>
        </is>
      </c>
      <c r="F5" s="22" t="inlineStr">
        <is>
          <t>PASS</t>
        </is>
      </c>
      <c r="G5" s="22" t="inlineStr">
        <is>
          <t>PASS</t>
        </is>
      </c>
      <c r="H5" s="22" t="inlineStr">
        <is>
          <t>PASS</t>
        </is>
      </c>
      <c r="I5" s="22" t="inlineStr">
        <is>
          <t>PASS</t>
        </is>
      </c>
      <c r="J5" s="23" t="inlineStr">
        <is>
          <t>NOT STATED</t>
        </is>
      </c>
      <c r="K5" s="22" t="inlineStr">
        <is>
          <t>PASS</t>
        </is>
      </c>
      <c r="L5" s="22" t="inlineStr">
        <is>
          <t>PASS</t>
        </is>
      </c>
      <c r="M5" s="22" t="inlineStr">
        <is>
          <t>PASS</t>
        </is>
      </c>
      <c r="N5" s="22" t="inlineStr">
        <is>
          <t>PASS</t>
        </is>
      </c>
      <c r="O5" s="22" t="inlineStr">
        <is>
          <t>PASS</t>
        </is>
      </c>
      <c r="P5" s="24" t="inlineStr">
        <is>
          <t>NO SOURCE</t>
        </is>
      </c>
      <c r="Q5" s="24" t="inlineStr">
        <is>
          <t>NO SOURCE</t>
        </is>
      </c>
      <c r="R5" s="24" t="inlineStr">
        <is>
          <t>NO SOURCE</t>
        </is>
      </c>
      <c r="S5" s="22" t="inlineStr">
        <is>
          <t>Pass</t>
        </is>
      </c>
      <c r="T5" s="25" t="inlineStr">
        <is>
          <t>Land Title: Bot said not on record (run 1 gave the sheet's Commercial (HDA) from the DC fact sheet)</t>
        </is>
      </c>
    </row>
    <row r="6">
      <c r="A6" s="36" t="n">
        <v>2</v>
      </c>
      <c r="B6" s="37" t="inlineStr">
        <is>
          <t>PDH: Imperial Residences RA</t>
        </is>
      </c>
      <c r="C6" s="38" t="inlineStr">
        <is>
          <t>Pass</t>
        </is>
      </c>
      <c r="D6" s="22" t="inlineStr">
        <is>
          <t>PASS</t>
        </is>
      </c>
      <c r="E6" s="22" t="inlineStr">
        <is>
          <t>PASS</t>
        </is>
      </c>
      <c r="F6" s="22" t="inlineStr">
        <is>
          <t>PASS</t>
        </is>
      </c>
      <c r="G6" s="22" t="inlineStr">
        <is>
          <t>PASS</t>
        </is>
      </c>
      <c r="H6" s="22" t="inlineStr">
        <is>
          <t>PASS</t>
        </is>
      </c>
      <c r="I6" s="24" t="inlineStr">
        <is>
          <t>NO SOURCE</t>
        </is>
      </c>
      <c r="J6" s="22" t="inlineStr">
        <is>
          <t>PASS</t>
        </is>
      </c>
      <c r="K6" s="22" t="inlineStr">
        <is>
          <t>PASS</t>
        </is>
      </c>
      <c r="L6" s="24" t="inlineStr">
        <is>
          <t>NO SOURCE</t>
        </is>
      </c>
      <c r="M6" s="36" t="inlineStr">
        <is>
          <t>—</t>
        </is>
      </c>
      <c r="N6" s="36" t="inlineStr">
        <is>
          <t>—</t>
        </is>
      </c>
      <c r="O6" s="22" t="inlineStr">
        <is>
          <t>PASS</t>
        </is>
      </c>
      <c r="P6" s="24" t="inlineStr">
        <is>
          <t>NO SOURCE</t>
        </is>
      </c>
      <c r="Q6" s="24" t="inlineStr">
        <is>
          <t>NO SOURCE</t>
        </is>
      </c>
      <c r="R6" s="24" t="inlineStr">
        <is>
          <t>NO SOURCE</t>
        </is>
      </c>
      <c r="S6" s="36" t="inlineStr">
        <is>
          <t>Not run</t>
        </is>
      </c>
      <c r="T6" s="25" t="inlineStr"/>
    </row>
    <row r="7">
      <c r="A7" s="36" t="n">
        <v>3</v>
      </c>
      <c r="B7" s="37" t="inlineStr">
        <is>
          <t>Bangsar Hill Park</t>
        </is>
      </c>
      <c r="C7" s="40" t="inlineStr">
        <is>
          <t>Pass (differs)</t>
        </is>
      </c>
      <c r="D7" s="24" t="inlineStr">
        <is>
          <t>NO SOURCE</t>
        </is>
      </c>
      <c r="E7" s="36" t="inlineStr">
        <is>
          <t>—</t>
        </is>
      </c>
      <c r="F7" s="24" t="inlineStr">
        <is>
          <t>NO SOURCE</t>
        </is>
      </c>
      <c r="G7" s="24" t="inlineStr">
        <is>
          <t>NO SOURCE</t>
        </is>
      </c>
      <c r="H7" s="22" t="inlineStr">
        <is>
          <t>PASS</t>
        </is>
      </c>
      <c r="I7" s="22" t="inlineStr">
        <is>
          <t>PASS</t>
        </is>
      </c>
      <c r="J7" s="22" t="inlineStr">
        <is>
          <t>PASS</t>
        </is>
      </c>
      <c r="K7" s="22" t="inlineStr">
        <is>
          <t>PASS</t>
        </is>
      </c>
      <c r="L7" s="24" t="inlineStr">
        <is>
          <t>NO SOURCE</t>
        </is>
      </c>
      <c r="M7" s="28" t="inlineStr">
        <is>
          <t>DIFFERS</t>
        </is>
      </c>
      <c r="N7" s="22" t="inlineStr">
        <is>
          <t>PASS</t>
        </is>
      </c>
      <c r="O7" s="22" t="inlineStr">
        <is>
          <t>PASS</t>
        </is>
      </c>
      <c r="P7" s="24" t="inlineStr">
        <is>
          <t>NO SOURCE</t>
        </is>
      </c>
      <c r="Q7" s="24" t="inlineStr">
        <is>
          <t>NO SOURCE</t>
        </is>
      </c>
      <c r="R7" s="24" t="inlineStr">
        <is>
          <t>NO SOURCE</t>
        </is>
      </c>
      <c r="S7" s="29" t="inlineStr">
        <is>
          <t>Needs ruling</t>
        </is>
      </c>
      <c r="T7" s="25" t="inlineStr">
        <is>
          <t>Total Units: Bot gives units per block; Block B 410 + Block C 392 = the sheet's 802</t>
        </is>
      </c>
    </row>
    <row r="8">
      <c r="A8" s="36" t="n">
        <v>4</v>
      </c>
      <c r="B8" s="37" t="inlineStr">
        <is>
          <t>ViiA Residences</t>
        </is>
      </c>
      <c r="C8" s="40" t="inlineStr">
        <is>
          <t>Pass (differs)</t>
        </is>
      </c>
      <c r="D8" s="22" t="inlineStr">
        <is>
          <t>PASS</t>
        </is>
      </c>
      <c r="E8" s="22" t="inlineStr">
        <is>
          <t>PASS</t>
        </is>
      </c>
      <c r="F8" s="22" t="inlineStr">
        <is>
          <t>PASS</t>
        </is>
      </c>
      <c r="G8" s="22" t="inlineStr">
        <is>
          <t>PASS</t>
        </is>
      </c>
      <c r="H8" s="28" t="inlineStr">
        <is>
          <t>DIFFERS</t>
        </is>
      </c>
      <c r="I8" s="22" t="inlineStr">
        <is>
          <t>PASS</t>
        </is>
      </c>
      <c r="J8" s="24" t="inlineStr">
        <is>
          <t>NO SOURCE</t>
        </is>
      </c>
      <c r="K8" s="22" t="inlineStr">
        <is>
          <t>PASS</t>
        </is>
      </c>
      <c r="L8" s="22" t="inlineStr">
        <is>
          <t>PASS</t>
        </is>
      </c>
      <c r="M8" s="22" t="inlineStr">
        <is>
          <t>PASS</t>
        </is>
      </c>
      <c r="N8" s="22" t="inlineStr">
        <is>
          <t>PASS</t>
        </is>
      </c>
      <c r="O8" s="22" t="inlineStr">
        <is>
          <t>PASS</t>
        </is>
      </c>
      <c r="P8" s="22" t="inlineStr">
        <is>
          <t>PASS</t>
        </is>
      </c>
      <c r="Q8" s="36" t="inlineStr">
        <is>
          <t>—</t>
        </is>
      </c>
      <c r="R8" s="24" t="inlineStr">
        <is>
          <t>NO SOURCE</t>
        </is>
      </c>
      <c r="S8" s="36" t="inlineStr">
        <is>
          <t>Not run</t>
        </is>
      </c>
      <c r="T8" s="25" t="inlineStr">
        <is>
          <t>Area: Bot says "KL Eco City"; sheet says "Bangsar"</t>
        </is>
      </c>
    </row>
    <row r="9">
      <c r="A9" s="36" t="n">
        <v>5</v>
      </c>
      <c r="B9" s="37" t="inlineStr">
        <is>
          <t>Enlace Suites @ Pantai Sentral Park</t>
        </is>
      </c>
      <c r="C9" s="38" t="inlineStr">
        <is>
          <t>Pass</t>
        </is>
      </c>
      <c r="D9" s="24" t="inlineStr">
        <is>
          <t>NO SOURCE</t>
        </is>
      </c>
      <c r="E9" s="24" t="inlineStr">
        <is>
          <t>NO SOURCE</t>
        </is>
      </c>
      <c r="F9" s="24" t="inlineStr">
        <is>
          <t>NO SOURCE</t>
        </is>
      </c>
      <c r="G9" s="24" t="inlineStr">
        <is>
          <t>NO SOURCE</t>
        </is>
      </c>
      <c r="H9" s="22" t="inlineStr">
        <is>
          <t>PASS</t>
        </is>
      </c>
      <c r="I9" s="22" t="inlineStr">
        <is>
          <t>PASS</t>
        </is>
      </c>
      <c r="J9" s="22" t="inlineStr">
        <is>
          <t>PASS</t>
        </is>
      </c>
      <c r="K9" s="24" t="inlineStr">
        <is>
          <t>NO SOURCE</t>
        </is>
      </c>
      <c r="L9" s="24" t="inlineStr">
        <is>
          <t>NO SOURCE</t>
        </is>
      </c>
      <c r="M9" s="22" t="inlineStr">
        <is>
          <t>PASS</t>
        </is>
      </c>
      <c r="N9" s="22" t="inlineStr">
        <is>
          <t>PASS</t>
        </is>
      </c>
      <c r="O9" s="22" t="inlineStr">
        <is>
          <t>PASS</t>
        </is>
      </c>
      <c r="P9" s="36" t="inlineStr">
        <is>
          <t>—</t>
        </is>
      </c>
      <c r="Q9" s="24" t="inlineStr">
        <is>
          <t>NO SOURCE</t>
        </is>
      </c>
      <c r="R9" s="36" t="inlineStr">
        <is>
          <t>—</t>
        </is>
      </c>
      <c r="S9" s="22" t="inlineStr">
        <is>
          <t>Pass</t>
        </is>
      </c>
      <c r="T9" s="25" t="inlineStr"/>
    </row>
    <row r="10">
      <c r="A10" s="36" t="n">
        <v>6</v>
      </c>
      <c r="B10" s="37" t="inlineStr">
        <is>
          <t>The Lantern Bangsar</t>
        </is>
      </c>
      <c r="C10" s="38" t="inlineStr">
        <is>
          <t>Pass</t>
        </is>
      </c>
      <c r="D10" s="22" t="inlineStr">
        <is>
          <t>PASS</t>
        </is>
      </c>
      <c r="E10" s="22" t="inlineStr">
        <is>
          <t>PASS</t>
        </is>
      </c>
      <c r="F10" s="36" t="inlineStr">
        <is>
          <t>—</t>
        </is>
      </c>
      <c r="G10" s="36" t="inlineStr">
        <is>
          <t>—</t>
        </is>
      </c>
      <c r="H10" s="22" t="inlineStr">
        <is>
          <t>PASS</t>
        </is>
      </c>
      <c r="I10" s="22" t="inlineStr">
        <is>
          <t>PASS</t>
        </is>
      </c>
      <c r="J10" s="24" t="inlineStr">
        <is>
          <t>NO SOURCE</t>
        </is>
      </c>
      <c r="K10" s="22" t="inlineStr">
        <is>
          <t>PASS</t>
        </is>
      </c>
      <c r="L10" s="22" t="inlineStr">
        <is>
          <t>PASS</t>
        </is>
      </c>
      <c r="M10" s="22" t="inlineStr">
        <is>
          <t>PASS</t>
        </is>
      </c>
      <c r="N10" s="22" t="inlineStr">
        <is>
          <t>PASS</t>
        </is>
      </c>
      <c r="O10" s="22" t="inlineStr">
        <is>
          <t>PASS</t>
        </is>
      </c>
      <c r="P10" s="24" t="inlineStr">
        <is>
          <t>NO SOURCE</t>
        </is>
      </c>
      <c r="Q10" s="24" t="inlineStr">
        <is>
          <t>NO SOURCE</t>
        </is>
      </c>
      <c r="R10" s="24" t="inlineStr">
        <is>
          <t>NO SOURCE</t>
        </is>
      </c>
      <c r="S10" s="22" t="inlineStr">
        <is>
          <t>Pass</t>
        </is>
      </c>
      <c r="T10" s="25" t="inlineStr"/>
    </row>
    <row r="11">
      <c r="A11" s="36" t="n">
        <v>7</v>
      </c>
      <c r="B11" s="37" t="inlineStr">
        <is>
          <t>One Eleven Menerung @ Bangsar</t>
        </is>
      </c>
      <c r="C11" s="38" t="inlineStr">
        <is>
          <t>Pass</t>
        </is>
      </c>
      <c r="D11" s="22" t="inlineStr">
        <is>
          <t>PASS</t>
        </is>
      </c>
      <c r="E11" s="22" t="inlineStr">
        <is>
          <t>PASS</t>
        </is>
      </c>
      <c r="F11" s="22" t="inlineStr">
        <is>
          <t>PASS</t>
        </is>
      </c>
      <c r="G11" s="22" t="inlineStr">
        <is>
          <t>PASS</t>
        </is>
      </c>
      <c r="H11" s="22" t="inlineStr">
        <is>
          <t>PASS</t>
        </is>
      </c>
      <c r="I11" s="22" t="inlineStr">
        <is>
          <t>PASS</t>
        </is>
      </c>
      <c r="J11" s="36" t="inlineStr">
        <is>
          <t>—</t>
        </is>
      </c>
      <c r="K11" s="36" t="inlineStr">
        <is>
          <t>—</t>
        </is>
      </c>
      <c r="L11" s="22" t="inlineStr">
        <is>
          <t>PASS</t>
        </is>
      </c>
      <c r="M11" s="22" t="inlineStr">
        <is>
          <t>PASS</t>
        </is>
      </c>
      <c r="N11" s="22" t="inlineStr">
        <is>
          <t>PASS</t>
        </is>
      </c>
      <c r="O11" s="22" t="inlineStr">
        <is>
          <t>PASS</t>
        </is>
      </c>
      <c r="P11" s="24" t="inlineStr">
        <is>
          <t>NO SOURCE</t>
        </is>
      </c>
      <c r="Q11" s="24" t="inlineStr">
        <is>
          <t>NO SOURCE</t>
        </is>
      </c>
      <c r="R11" s="24" t="inlineStr">
        <is>
          <t>NO SOURCE</t>
        </is>
      </c>
      <c r="S11" s="22" t="inlineStr">
        <is>
          <t>Pass</t>
        </is>
      </c>
      <c r="T11" s="25" t="inlineStr"/>
    </row>
    <row r="12">
      <c r="A12" s="36" t="n">
        <v>8</v>
      </c>
      <c r="B12" s="37" t="inlineStr">
        <is>
          <t>Pavilion Damansara Heights</t>
        </is>
      </c>
      <c r="C12" s="38" t="inlineStr">
        <is>
          <t>Pass</t>
        </is>
      </c>
      <c r="D12" s="24" t="inlineStr">
        <is>
          <t>NO SOURCE</t>
        </is>
      </c>
      <c r="E12" s="24" t="inlineStr">
        <is>
          <t>NO SOURCE</t>
        </is>
      </c>
      <c r="F12" s="24" t="inlineStr">
        <is>
          <t>NO SOURCE</t>
        </is>
      </c>
      <c r="G12" s="24" t="inlineStr">
        <is>
          <t>NO SOURCE</t>
        </is>
      </c>
      <c r="H12" s="22" t="inlineStr">
        <is>
          <t>PASS</t>
        </is>
      </c>
      <c r="I12" s="22" t="inlineStr">
        <is>
          <t>PASS</t>
        </is>
      </c>
      <c r="J12" s="24" t="inlineStr">
        <is>
          <t>NO SOURCE</t>
        </is>
      </c>
      <c r="K12" s="22" t="inlineStr">
        <is>
          <t>PASS</t>
        </is>
      </c>
      <c r="L12" s="22" t="inlineStr">
        <is>
          <t>PASS</t>
        </is>
      </c>
      <c r="M12" s="22" t="inlineStr">
        <is>
          <t>PASS</t>
        </is>
      </c>
      <c r="N12" s="36" t="inlineStr">
        <is>
          <t>—</t>
        </is>
      </c>
      <c r="O12" s="24" t="inlineStr">
        <is>
          <t>NO SOURCE</t>
        </is>
      </c>
      <c r="P12" s="36" t="inlineStr">
        <is>
          <t>—</t>
        </is>
      </c>
      <c r="Q12" s="24" t="inlineStr">
        <is>
          <t>NO SOURCE</t>
        </is>
      </c>
      <c r="R12" s="24" t="inlineStr">
        <is>
          <t>NO SOURCE</t>
        </is>
      </c>
      <c r="S12" s="36" t="inlineStr">
        <is>
          <t>Not run</t>
        </is>
      </c>
      <c r="T12" s="25" t="inlineStr">
        <is>
          <t>Developer: Impian Ekspresi Sdn Bhd (Pavilion Group)</t>
        </is>
      </c>
    </row>
    <row r="13">
      <c r="A13" s="36" t="n">
        <v>9</v>
      </c>
      <c r="B13" s="37" t="inlineStr">
        <is>
          <t>PDH: Royal Suites(RC)</t>
        </is>
      </c>
      <c r="C13" s="38" t="inlineStr">
        <is>
          <t>Pass</t>
        </is>
      </c>
      <c r="D13" s="22" t="inlineStr">
        <is>
          <t>PASS</t>
        </is>
      </c>
      <c r="E13" s="22" t="inlineStr">
        <is>
          <t>PASS</t>
        </is>
      </c>
      <c r="F13" s="36" t="inlineStr">
        <is>
          <t>—</t>
        </is>
      </c>
      <c r="G13" s="36" t="inlineStr">
        <is>
          <t>—</t>
        </is>
      </c>
      <c r="H13" s="22" t="inlineStr">
        <is>
          <t>PASS</t>
        </is>
      </c>
      <c r="I13" s="22" t="inlineStr">
        <is>
          <t>PASS</t>
        </is>
      </c>
      <c r="J13" s="22" t="inlineStr">
        <is>
          <t>PASS</t>
        </is>
      </c>
      <c r="K13" s="22" t="inlineStr">
        <is>
          <t>PASS</t>
        </is>
      </c>
      <c r="L13" s="22" t="inlineStr">
        <is>
          <t>PASS</t>
        </is>
      </c>
      <c r="M13" s="22" t="inlineStr">
        <is>
          <t>PASS</t>
        </is>
      </c>
      <c r="N13" s="22" t="inlineStr">
        <is>
          <t>PASS</t>
        </is>
      </c>
      <c r="O13" s="22" t="inlineStr">
        <is>
          <t>PASS</t>
        </is>
      </c>
      <c r="P13" s="24" t="inlineStr">
        <is>
          <t>NO SOURCE</t>
        </is>
      </c>
      <c r="Q13" s="22" t="inlineStr">
        <is>
          <t>PASS</t>
        </is>
      </c>
      <c r="R13" s="24" t="inlineStr">
        <is>
          <t>NO SOURCE</t>
        </is>
      </c>
      <c r="S13" s="36" t="inlineStr">
        <is>
          <t>Not run</t>
        </is>
      </c>
      <c r="T13" s="25" t="inlineStr"/>
    </row>
    <row r="14">
      <c r="A14" s="36" t="n">
        <v>10</v>
      </c>
      <c r="B14" s="37" t="inlineStr">
        <is>
          <t>Pinnacle Bangsar Residence</t>
        </is>
      </c>
      <c r="C14" s="38" t="inlineStr">
        <is>
          <t>Pass</t>
        </is>
      </c>
      <c r="D14" s="24" t="inlineStr">
        <is>
          <t>NO SOURCE</t>
        </is>
      </c>
      <c r="E14" s="36" t="inlineStr">
        <is>
          <t>—</t>
        </is>
      </c>
      <c r="F14" s="24" t="inlineStr">
        <is>
          <t>NO SOURCE</t>
        </is>
      </c>
      <c r="G14" s="24" t="inlineStr">
        <is>
          <t>NO SOURCE</t>
        </is>
      </c>
      <c r="H14" s="22" t="inlineStr">
        <is>
          <t>PASS</t>
        </is>
      </c>
      <c r="I14" s="22" t="inlineStr">
        <is>
          <t>PASS</t>
        </is>
      </c>
      <c r="J14" s="36" t="inlineStr">
        <is>
          <t>—</t>
        </is>
      </c>
      <c r="K14" s="22" t="inlineStr">
        <is>
          <t>PASS</t>
        </is>
      </c>
      <c r="L14" s="22" t="inlineStr">
        <is>
          <t>PASS</t>
        </is>
      </c>
      <c r="M14" s="22" t="inlineStr">
        <is>
          <t>PASS</t>
        </is>
      </c>
      <c r="N14" s="22" t="inlineStr">
        <is>
          <t>PASS</t>
        </is>
      </c>
      <c r="O14" s="22" t="inlineStr">
        <is>
          <t>PASS</t>
        </is>
      </c>
      <c r="P14" s="24" t="inlineStr">
        <is>
          <t>NO SOURCE</t>
        </is>
      </c>
      <c r="Q14" s="24" t="inlineStr">
        <is>
          <t>NO SOURCE</t>
        </is>
      </c>
      <c r="R14" s="24" t="inlineStr">
        <is>
          <t>NO SOURCE</t>
        </is>
      </c>
      <c r="S14" s="22" t="inlineStr">
        <is>
          <t>Pass</t>
        </is>
      </c>
      <c r="T14" s="25" t="inlineStr"/>
    </row>
    <row r="15">
      <c r="A15" s="36" t="n">
        <v>11</v>
      </c>
      <c r="B15" s="37" t="inlineStr">
        <is>
          <t>Parkside Residences</t>
        </is>
      </c>
      <c r="C15" s="39" t="inlineStr">
        <is>
          <t>Partial</t>
        </is>
      </c>
      <c r="D15" s="23" t="inlineStr">
        <is>
          <t>NOT STATED</t>
        </is>
      </c>
      <c r="E15" s="23" t="inlineStr">
        <is>
          <t>NOT STATED</t>
        </is>
      </c>
      <c r="F15" s="23" t="inlineStr">
        <is>
          <t>NOT STATED</t>
        </is>
      </c>
      <c r="G15" s="23" t="inlineStr">
        <is>
          <t>NOT STATED</t>
        </is>
      </c>
      <c r="H15" s="22" t="inlineStr">
        <is>
          <t>PASS</t>
        </is>
      </c>
      <c r="I15" s="22" t="inlineStr">
        <is>
          <t>PASS</t>
        </is>
      </c>
      <c r="J15" s="24" t="inlineStr">
        <is>
          <t>NO SOURCE</t>
        </is>
      </c>
      <c r="K15" s="22" t="inlineStr">
        <is>
          <t>PASS</t>
        </is>
      </c>
      <c r="L15" s="22" t="inlineStr">
        <is>
          <t>PASS</t>
        </is>
      </c>
      <c r="M15" s="22" t="inlineStr">
        <is>
          <t>PASS</t>
        </is>
      </c>
      <c r="N15" s="24" t="inlineStr">
        <is>
          <t>NO SOURCE</t>
        </is>
      </c>
      <c r="O15" s="22" t="inlineStr">
        <is>
          <t>PASS</t>
        </is>
      </c>
      <c r="P15" s="24" t="inlineStr">
        <is>
          <t>NO SOURCE</t>
        </is>
      </c>
      <c r="Q15" s="24" t="inlineStr">
        <is>
          <t>NO SOURCE</t>
        </is>
      </c>
      <c r="R15" s="24" t="inlineStr">
        <is>
          <t>NO SOURCE</t>
        </is>
      </c>
      <c r="S15" s="22" t="inlineStr">
        <is>
          <t>Pass</t>
        </is>
      </c>
      <c r="T15" s="25" t="inlineStr">
        <is>
          <t>Size: Type C1 left out; the other 8 layouts match exactly | Rooms: Type C1 left out | Nett Price: Type C1 left out | Gross Price: Type C1 left out</t>
        </is>
      </c>
    </row>
    <row r="16">
      <c r="A16" s="36" t="n">
        <v>12</v>
      </c>
      <c r="B16" s="37" t="inlineStr">
        <is>
          <t>Rhombus</t>
        </is>
      </c>
      <c r="C16" s="38" t="inlineStr">
        <is>
          <t>Pass</t>
        </is>
      </c>
      <c r="D16" s="24" t="inlineStr">
        <is>
          <t>NO SOURCE</t>
        </is>
      </c>
      <c r="E16" s="36" t="inlineStr">
        <is>
          <t>—</t>
        </is>
      </c>
      <c r="F16" s="24" t="inlineStr">
        <is>
          <t>NO SOURCE</t>
        </is>
      </c>
      <c r="G16" s="24" t="inlineStr">
        <is>
          <t>NO SOURCE</t>
        </is>
      </c>
      <c r="H16" s="22" t="inlineStr">
        <is>
          <t>PASS</t>
        </is>
      </c>
      <c r="I16" s="22" t="inlineStr">
        <is>
          <t>PASS</t>
        </is>
      </c>
      <c r="J16" s="22" t="inlineStr">
        <is>
          <t>PASS</t>
        </is>
      </c>
      <c r="K16" s="22" t="inlineStr">
        <is>
          <t>PASS</t>
        </is>
      </c>
      <c r="L16" s="22" t="inlineStr">
        <is>
          <t>PASS</t>
        </is>
      </c>
      <c r="M16" s="22" t="inlineStr">
        <is>
          <t>PASS</t>
        </is>
      </c>
      <c r="N16" s="36" t="inlineStr">
        <is>
          <t>—</t>
        </is>
      </c>
      <c r="O16" s="22" t="inlineStr">
        <is>
          <t>PASS</t>
        </is>
      </c>
      <c r="P16" s="36" t="inlineStr">
        <is>
          <t>—</t>
        </is>
      </c>
      <c r="Q16" s="24" t="inlineStr">
        <is>
          <t>NO SOURCE</t>
        </is>
      </c>
      <c r="R16" s="24" t="inlineStr">
        <is>
          <t>NO SOURCE</t>
        </is>
      </c>
      <c r="S16" s="22" t="inlineStr">
        <is>
          <t>Pass</t>
        </is>
      </c>
      <c r="T16" s="25" t="inlineStr"/>
    </row>
    <row r="17">
      <c r="A17" s="36" t="n">
        <v>13</v>
      </c>
      <c r="B17" s="37" t="inlineStr">
        <is>
          <t>Riana Trees Residences</t>
        </is>
      </c>
      <c r="C17" s="38" t="inlineStr">
        <is>
          <t>Pass</t>
        </is>
      </c>
      <c r="D17" s="24" t="inlineStr">
        <is>
          <t>NO SOURCE</t>
        </is>
      </c>
      <c r="E17" s="36" t="inlineStr">
        <is>
          <t>—</t>
        </is>
      </c>
      <c r="F17" s="24" t="inlineStr">
        <is>
          <t>NO SOURCE</t>
        </is>
      </c>
      <c r="G17" s="24" t="inlineStr">
        <is>
          <t>NO SOURCE</t>
        </is>
      </c>
      <c r="H17" s="22" t="inlineStr">
        <is>
          <t>PASS</t>
        </is>
      </c>
      <c r="I17" s="22" t="inlineStr">
        <is>
          <t>PASS</t>
        </is>
      </c>
      <c r="J17" s="22" t="inlineStr">
        <is>
          <t>PASS</t>
        </is>
      </c>
      <c r="K17" s="24" t="inlineStr">
        <is>
          <t>NO SOURCE</t>
        </is>
      </c>
      <c r="L17" s="24" t="inlineStr">
        <is>
          <t>NO SOURCE</t>
        </is>
      </c>
      <c r="M17" s="22" t="inlineStr">
        <is>
          <t>PASS</t>
        </is>
      </c>
      <c r="N17" s="24" t="inlineStr">
        <is>
          <t>NO SOURCE</t>
        </is>
      </c>
      <c r="O17" s="24" t="inlineStr">
        <is>
          <t>NO SOURCE</t>
        </is>
      </c>
      <c r="P17" s="24" t="inlineStr">
        <is>
          <t>NO SOURCE</t>
        </is>
      </c>
      <c r="Q17" s="24" t="inlineStr">
        <is>
          <t>NO SOURCE</t>
        </is>
      </c>
      <c r="R17" s="24" t="inlineStr">
        <is>
          <t>NO SOURCE</t>
        </is>
      </c>
      <c r="S17" s="36" t="inlineStr">
        <is>
          <t>Not run</t>
        </is>
      </c>
      <c r="T17" s="25" t="inlineStr"/>
    </row>
    <row r="18">
      <c r="A18" s="36" t="n">
        <v>14</v>
      </c>
      <c r="B18" s="37" t="inlineStr">
        <is>
          <t>Residensi 38 Bangsar</t>
        </is>
      </c>
      <c r="C18" s="38" t="inlineStr">
        <is>
          <t>Pass</t>
        </is>
      </c>
      <c r="D18" s="24" t="inlineStr">
        <is>
          <t>NO SOURCE</t>
        </is>
      </c>
      <c r="E18" s="24" t="inlineStr">
        <is>
          <t>NO SOURCE</t>
        </is>
      </c>
      <c r="F18" s="24" t="inlineStr">
        <is>
          <t>NO SOURCE</t>
        </is>
      </c>
      <c r="G18" s="24" t="inlineStr">
        <is>
          <t>NO SOURCE</t>
        </is>
      </c>
      <c r="H18" s="22" t="inlineStr">
        <is>
          <t>PASS</t>
        </is>
      </c>
      <c r="I18" s="22" t="inlineStr">
        <is>
          <t>PASS</t>
        </is>
      </c>
      <c r="J18" s="36" t="inlineStr">
        <is>
          <t>—</t>
        </is>
      </c>
      <c r="K18" s="24" t="inlineStr">
        <is>
          <t>NO SOURCE</t>
        </is>
      </c>
      <c r="L18" s="22" t="inlineStr">
        <is>
          <t>PASS</t>
        </is>
      </c>
      <c r="M18" s="22" t="inlineStr">
        <is>
          <t>PASS</t>
        </is>
      </c>
      <c r="N18" s="22" t="inlineStr">
        <is>
          <t>PASS</t>
        </is>
      </c>
      <c r="O18" s="22" t="inlineStr">
        <is>
          <t>PASS</t>
        </is>
      </c>
      <c r="P18" s="24" t="inlineStr">
        <is>
          <t>NO SOURCE</t>
        </is>
      </c>
      <c r="Q18" s="24" t="inlineStr">
        <is>
          <t>NO SOURCE</t>
        </is>
      </c>
      <c r="R18" s="24" t="inlineStr">
        <is>
          <t>NO SOURCE</t>
        </is>
      </c>
      <c r="S18" s="22" t="inlineStr">
        <is>
          <t>Pass</t>
        </is>
      </c>
      <c r="T18" s="25" t="inlineStr"/>
    </row>
    <row r="19">
      <c r="A19" s="36" t="n">
        <v>15</v>
      </c>
      <c r="B19" s="37" t="inlineStr">
        <is>
          <t>Lunar Seputeh</t>
        </is>
      </c>
      <c r="C19" s="38" t="inlineStr">
        <is>
          <t>Pass</t>
        </is>
      </c>
      <c r="D19" s="24" t="inlineStr">
        <is>
          <t>NO SOURCE</t>
        </is>
      </c>
      <c r="E19" s="36" t="inlineStr">
        <is>
          <t>—</t>
        </is>
      </c>
      <c r="F19" s="24" t="inlineStr">
        <is>
          <t>NO SOURCE</t>
        </is>
      </c>
      <c r="G19" s="24" t="inlineStr">
        <is>
          <t>NO SOURCE</t>
        </is>
      </c>
      <c r="H19" s="22" t="inlineStr">
        <is>
          <t>PASS</t>
        </is>
      </c>
      <c r="I19" s="22" t="inlineStr">
        <is>
          <t>PASS</t>
        </is>
      </c>
      <c r="J19" s="22" t="inlineStr">
        <is>
          <t>PASS</t>
        </is>
      </c>
      <c r="K19" s="36" t="inlineStr">
        <is>
          <t>—</t>
        </is>
      </c>
      <c r="L19" s="22" t="inlineStr">
        <is>
          <t>PASS</t>
        </is>
      </c>
      <c r="M19" s="22" t="inlineStr">
        <is>
          <t>PASS</t>
        </is>
      </c>
      <c r="N19" s="22" t="inlineStr">
        <is>
          <t>PASS</t>
        </is>
      </c>
      <c r="O19" s="22" t="inlineStr">
        <is>
          <t>PASS</t>
        </is>
      </c>
      <c r="P19" s="24" t="inlineStr">
        <is>
          <t>NO SOURCE</t>
        </is>
      </c>
      <c r="Q19" s="36" t="inlineStr">
        <is>
          <t>—</t>
        </is>
      </c>
      <c r="R19" s="24" t="inlineStr">
        <is>
          <t>NO SOURCE</t>
        </is>
      </c>
      <c r="S19" s="22" t="inlineStr">
        <is>
          <t>Pass</t>
        </is>
      </c>
      <c r="T19" s="25" t="inlineStr"/>
    </row>
    <row r="20">
      <c r="A20" s="36" t="n">
        <v>16</v>
      </c>
      <c r="B20" s="37" t="inlineStr">
        <is>
          <t>Sentral Suites @ KL Sentral</t>
        </is>
      </c>
      <c r="C20" s="38" t="inlineStr">
        <is>
          <t>Pass</t>
        </is>
      </c>
      <c r="D20" s="24" t="inlineStr">
        <is>
          <t>NO SOURCE</t>
        </is>
      </c>
      <c r="E20" s="24" t="inlineStr">
        <is>
          <t>NO SOURCE</t>
        </is>
      </c>
      <c r="F20" s="24" t="inlineStr">
        <is>
          <t>NO SOURCE</t>
        </is>
      </c>
      <c r="G20" s="24" t="inlineStr">
        <is>
          <t>NO SOURCE</t>
        </is>
      </c>
      <c r="H20" s="22" t="inlineStr">
        <is>
          <t>PASS</t>
        </is>
      </c>
      <c r="I20" s="22" t="inlineStr">
        <is>
          <t>PASS</t>
        </is>
      </c>
      <c r="J20" s="22" t="inlineStr">
        <is>
          <t>PASS</t>
        </is>
      </c>
      <c r="K20" s="22" t="inlineStr">
        <is>
          <t>PASS</t>
        </is>
      </c>
      <c r="L20" s="24" t="inlineStr">
        <is>
          <t>NO SOURCE</t>
        </is>
      </c>
      <c r="M20" s="24" t="inlineStr">
        <is>
          <t>NO SOURCE</t>
        </is>
      </c>
      <c r="N20" s="24" t="inlineStr">
        <is>
          <t>NO SOURCE</t>
        </is>
      </c>
      <c r="O20" s="22" t="inlineStr">
        <is>
          <t>PASS</t>
        </is>
      </c>
      <c r="P20" s="22" t="inlineStr">
        <is>
          <t>PASS</t>
        </is>
      </c>
      <c r="Q20" s="24" t="inlineStr">
        <is>
          <t>NO SOURCE</t>
        </is>
      </c>
      <c r="R20" s="36" t="inlineStr">
        <is>
          <t>—</t>
        </is>
      </c>
      <c r="S20" s="36" t="inlineStr">
        <is>
          <t>Not run</t>
        </is>
      </c>
      <c r="T20" s="25" t="inlineStr"/>
    </row>
    <row r="21">
      <c r="A21" s="36" t="n">
        <v>17</v>
      </c>
      <c r="B21" s="37" t="inlineStr">
        <is>
          <t>The Cedar Damansara Heights</t>
        </is>
      </c>
      <c r="C21" s="38" t="inlineStr">
        <is>
          <t>Pass</t>
        </is>
      </c>
      <c r="D21" s="24" t="inlineStr">
        <is>
          <t>NO SOURCE</t>
        </is>
      </c>
      <c r="E21" s="36" t="inlineStr">
        <is>
          <t>—</t>
        </is>
      </c>
      <c r="F21" s="24" t="inlineStr">
        <is>
          <t>NO SOURCE</t>
        </is>
      </c>
      <c r="G21" s="24" t="inlineStr">
        <is>
          <t>NO SOURCE</t>
        </is>
      </c>
      <c r="H21" s="22" t="inlineStr">
        <is>
          <t>PASS</t>
        </is>
      </c>
      <c r="I21" s="24" t="inlineStr">
        <is>
          <t>NO SOURCE</t>
        </is>
      </c>
      <c r="J21" s="24" t="inlineStr">
        <is>
          <t>NO SOURCE</t>
        </is>
      </c>
      <c r="K21" s="22" t="inlineStr">
        <is>
          <t>PASS</t>
        </is>
      </c>
      <c r="L21" s="22" t="inlineStr">
        <is>
          <t>PASS</t>
        </is>
      </c>
      <c r="M21" s="24" t="inlineStr">
        <is>
          <t>NO SOURCE</t>
        </is>
      </c>
      <c r="N21" s="36" t="inlineStr">
        <is>
          <t>—</t>
        </is>
      </c>
      <c r="O21" s="22" t="inlineStr">
        <is>
          <t>PASS</t>
        </is>
      </c>
      <c r="P21" s="36" t="inlineStr">
        <is>
          <t>—</t>
        </is>
      </c>
      <c r="Q21" s="24" t="inlineStr">
        <is>
          <t>NO SOURCE</t>
        </is>
      </c>
      <c r="R21" s="24" t="inlineStr">
        <is>
          <t>NO SOURCE</t>
        </is>
      </c>
      <c r="S21" s="36" t="inlineStr">
        <is>
          <t>Not run</t>
        </is>
      </c>
      <c r="T21" s="25" t="inlineStr"/>
    </row>
    <row r="22">
      <c r="A22" s="36" t="n">
        <v>18</v>
      </c>
      <c r="B22" s="37" t="inlineStr">
        <is>
          <t>Tria Seputeh</t>
        </is>
      </c>
      <c r="C22" s="38" t="inlineStr">
        <is>
          <t>Pass</t>
        </is>
      </c>
      <c r="D22" s="24" t="inlineStr">
        <is>
          <t>NO SOURCE</t>
        </is>
      </c>
      <c r="E22" s="36" t="inlineStr">
        <is>
          <t>—</t>
        </is>
      </c>
      <c r="F22" s="24" t="inlineStr">
        <is>
          <t>NO SOURCE</t>
        </is>
      </c>
      <c r="G22" s="24" t="inlineStr">
        <is>
          <t>NO SOURCE</t>
        </is>
      </c>
      <c r="H22" s="22" t="inlineStr">
        <is>
          <t>PASS</t>
        </is>
      </c>
      <c r="I22" s="22" t="inlineStr">
        <is>
          <t>PASS</t>
        </is>
      </c>
      <c r="J22" s="36" t="inlineStr">
        <is>
          <t>—</t>
        </is>
      </c>
      <c r="K22" s="22" t="inlineStr">
        <is>
          <t>PASS</t>
        </is>
      </c>
      <c r="L22" s="22" t="inlineStr">
        <is>
          <t>PASS</t>
        </is>
      </c>
      <c r="M22" s="24" t="inlineStr">
        <is>
          <t>NO SOURCE</t>
        </is>
      </c>
      <c r="N22" s="24" t="inlineStr">
        <is>
          <t>NO SOURCE</t>
        </is>
      </c>
      <c r="O22" s="22" t="inlineStr">
        <is>
          <t>PASS</t>
        </is>
      </c>
      <c r="P22" s="36" t="inlineStr">
        <is>
          <t>—</t>
        </is>
      </c>
      <c r="Q22" s="36" t="inlineStr">
        <is>
          <t>—</t>
        </is>
      </c>
      <c r="R22" s="36" t="inlineStr">
        <is>
          <t>—</t>
        </is>
      </c>
      <c r="S22" s="22" t="inlineStr">
        <is>
          <t>Pass</t>
        </is>
      </c>
      <c r="T22" s="25" t="inlineStr"/>
    </row>
    <row r="23">
      <c r="A23" s="36" t="n">
        <v>19</v>
      </c>
      <c r="B23" s="37" t="inlineStr">
        <is>
          <t>d'Brightton titiwangsa</t>
        </is>
      </c>
      <c r="C23" s="38" t="inlineStr">
        <is>
          <t>Pass</t>
        </is>
      </c>
      <c r="D23" s="24" t="inlineStr">
        <is>
          <t>NO SOURCE</t>
        </is>
      </c>
      <c r="E23" s="24" t="inlineStr">
        <is>
          <t>NO SOURCE</t>
        </is>
      </c>
      <c r="F23" s="24" t="inlineStr">
        <is>
          <t>NO SOURCE</t>
        </is>
      </c>
      <c r="G23" s="24" t="inlineStr">
        <is>
          <t>NO SOURCE</t>
        </is>
      </c>
      <c r="H23" s="22" t="inlineStr">
        <is>
          <t>PASS</t>
        </is>
      </c>
      <c r="I23" s="22" t="inlineStr">
        <is>
          <t>PASS</t>
        </is>
      </c>
      <c r="J23" s="24" t="inlineStr">
        <is>
          <t>NO SOURCE</t>
        </is>
      </c>
      <c r="K23" s="22" t="inlineStr">
        <is>
          <t>PASS</t>
        </is>
      </c>
      <c r="L23" s="22" t="inlineStr">
        <is>
          <t>PASS</t>
        </is>
      </c>
      <c r="M23" s="22" t="inlineStr">
        <is>
          <t>PASS</t>
        </is>
      </c>
      <c r="N23" s="36" t="inlineStr">
        <is>
          <t>—</t>
        </is>
      </c>
      <c r="O23" s="22" t="inlineStr">
        <is>
          <t>PASS</t>
        </is>
      </c>
      <c r="P23" s="24" t="inlineStr">
        <is>
          <t>NO SOURCE</t>
        </is>
      </c>
      <c r="Q23" s="36" t="inlineStr">
        <is>
          <t>—</t>
        </is>
      </c>
      <c r="R23" s="24" t="inlineStr">
        <is>
          <t>NO SOURCE</t>
        </is>
      </c>
      <c r="S23" s="30" t="inlineStr">
        <is>
          <t>Fail</t>
        </is>
      </c>
      <c r="T23" s="25" t="inlineStr"/>
    </row>
    <row r="24">
      <c r="A24" s="36" t="n">
        <v>20</v>
      </c>
      <c r="B24" s="37" t="inlineStr">
        <is>
          <t>IJM Sierra Hijauan</t>
        </is>
      </c>
      <c r="C24" s="38" t="inlineStr">
        <is>
          <t>Pass</t>
        </is>
      </c>
      <c r="D24" s="36" t="inlineStr">
        <is>
          <t>—</t>
        </is>
      </c>
      <c r="E24" s="36" t="inlineStr">
        <is>
          <t>—</t>
        </is>
      </c>
      <c r="F24" s="24" t="inlineStr">
        <is>
          <t>NO SOURCE</t>
        </is>
      </c>
      <c r="G24" s="24" t="inlineStr">
        <is>
          <t>NO SOURCE</t>
        </is>
      </c>
      <c r="H24" s="22" t="inlineStr">
        <is>
          <t>PASS</t>
        </is>
      </c>
      <c r="I24" s="22" t="inlineStr">
        <is>
          <t>PASS</t>
        </is>
      </c>
      <c r="J24" s="22" t="inlineStr">
        <is>
          <t>PASS</t>
        </is>
      </c>
      <c r="K24" s="22" t="inlineStr">
        <is>
          <t>PASS</t>
        </is>
      </c>
      <c r="L24" s="22" t="inlineStr">
        <is>
          <t>PASS</t>
        </is>
      </c>
      <c r="M24" s="22" t="inlineStr">
        <is>
          <t>PASS</t>
        </is>
      </c>
      <c r="N24" s="36" t="inlineStr">
        <is>
          <t>—</t>
        </is>
      </c>
      <c r="O24" s="22" t="inlineStr">
        <is>
          <t>PASS</t>
        </is>
      </c>
      <c r="P24" s="36" t="inlineStr">
        <is>
          <t>—</t>
        </is>
      </c>
      <c r="Q24" s="24" t="inlineStr">
        <is>
          <t>NO SOURCE</t>
        </is>
      </c>
      <c r="R24" s="36" t="inlineStr">
        <is>
          <t>—</t>
        </is>
      </c>
      <c r="S24" s="36" t="inlineStr">
        <is>
          <t>Not run</t>
        </is>
      </c>
      <c r="T24" s="25" t="inlineStr"/>
    </row>
    <row r="25">
      <c r="A25" s="36" t="n">
        <v>21</v>
      </c>
      <c r="B25" s="37" t="inlineStr">
        <is>
          <t>Puncak Wangsamas Phase 2</t>
        </is>
      </c>
      <c r="C25" s="38" t="inlineStr">
        <is>
          <t>Pass</t>
        </is>
      </c>
      <c r="D25" s="22" t="inlineStr">
        <is>
          <t>PASS</t>
        </is>
      </c>
      <c r="E25" s="22" t="inlineStr">
        <is>
          <t>PASS</t>
        </is>
      </c>
      <c r="F25" s="22" t="inlineStr">
        <is>
          <t>PASS</t>
        </is>
      </c>
      <c r="G25" s="36" t="inlineStr">
        <is>
          <t>—</t>
        </is>
      </c>
      <c r="H25" s="22" t="inlineStr">
        <is>
          <t>PASS</t>
        </is>
      </c>
      <c r="I25" s="22" t="inlineStr">
        <is>
          <t>PASS</t>
        </is>
      </c>
      <c r="J25" s="22" t="inlineStr">
        <is>
          <t>PASS</t>
        </is>
      </c>
      <c r="K25" s="24" t="inlineStr">
        <is>
          <t>NO SOURCE</t>
        </is>
      </c>
      <c r="L25" s="22" t="inlineStr">
        <is>
          <t>PASS</t>
        </is>
      </c>
      <c r="M25" s="22" t="inlineStr">
        <is>
          <t>PASS</t>
        </is>
      </c>
      <c r="N25" s="24" t="inlineStr">
        <is>
          <t>NO SOURCE</t>
        </is>
      </c>
      <c r="O25" s="24" t="inlineStr">
        <is>
          <t>NO SOURCE</t>
        </is>
      </c>
      <c r="P25" s="24" t="inlineStr">
        <is>
          <t>NO SOURCE</t>
        </is>
      </c>
      <c r="Q25" s="36" t="inlineStr">
        <is>
          <t>—</t>
        </is>
      </c>
      <c r="R25" s="36" t="inlineStr">
        <is>
          <t>—</t>
        </is>
      </c>
      <c r="S25" s="36" t="inlineStr">
        <is>
          <t>Not run</t>
        </is>
      </c>
      <c r="T25" s="25" t="inlineStr"/>
    </row>
    <row r="26">
      <c r="A26" s="36" t="n">
        <v>22</v>
      </c>
      <c r="B26" s="37" t="inlineStr">
        <is>
          <t>The Reya</t>
        </is>
      </c>
      <c r="C26" s="38" t="inlineStr">
        <is>
          <t>Pass</t>
        </is>
      </c>
      <c r="D26" s="24" t="inlineStr">
        <is>
          <t>NO SOURCE</t>
        </is>
      </c>
      <c r="E26" s="36" t="inlineStr">
        <is>
          <t>—</t>
        </is>
      </c>
      <c r="F26" s="24" t="inlineStr">
        <is>
          <t>NO SOURCE</t>
        </is>
      </c>
      <c r="G26" s="24" t="inlineStr">
        <is>
          <t>NO SOURCE</t>
        </is>
      </c>
      <c r="H26" s="22" t="inlineStr">
        <is>
          <t>PASS</t>
        </is>
      </c>
      <c r="I26" s="22" t="inlineStr">
        <is>
          <t>PASS</t>
        </is>
      </c>
      <c r="J26" s="24" t="inlineStr">
        <is>
          <t>NO SOURCE</t>
        </is>
      </c>
      <c r="K26" s="22" t="inlineStr">
        <is>
          <t>PASS</t>
        </is>
      </c>
      <c r="L26" s="22" t="inlineStr">
        <is>
          <t>PASS</t>
        </is>
      </c>
      <c r="M26" s="24" t="inlineStr">
        <is>
          <t>NO SOURCE</t>
        </is>
      </c>
      <c r="N26" s="24" t="inlineStr">
        <is>
          <t>NO SOURCE</t>
        </is>
      </c>
      <c r="O26" s="24" t="inlineStr">
        <is>
          <t>NO SOURCE</t>
        </is>
      </c>
      <c r="P26" s="24" t="inlineStr">
        <is>
          <t>NO SOURCE</t>
        </is>
      </c>
      <c r="Q26" s="24" t="inlineStr">
        <is>
          <t>NO SOURCE</t>
        </is>
      </c>
      <c r="R26" s="24" t="inlineStr">
        <is>
          <t>NO SOURCE</t>
        </is>
      </c>
      <c r="S26" s="36" t="inlineStr">
        <is>
          <t>Not run</t>
        </is>
      </c>
      <c r="T26" s="25" t="inlineStr"/>
    </row>
    <row r="27">
      <c r="A27" s="36" t="n">
        <v>23</v>
      </c>
      <c r="B27" s="37" t="inlineStr">
        <is>
          <t>Padang Residences</t>
        </is>
      </c>
      <c r="C27" s="38" t="inlineStr">
        <is>
          <t>Pass</t>
        </is>
      </c>
      <c r="D27" s="24" t="inlineStr">
        <is>
          <t>NO SOURCE</t>
        </is>
      </c>
      <c r="E27" s="36" t="inlineStr">
        <is>
          <t>—</t>
        </is>
      </c>
      <c r="F27" s="24" t="inlineStr">
        <is>
          <t>NO SOURCE</t>
        </is>
      </c>
      <c r="G27" s="24" t="inlineStr">
        <is>
          <t>NO SOURCE</t>
        </is>
      </c>
      <c r="H27" s="22" t="inlineStr">
        <is>
          <t>PASS</t>
        </is>
      </c>
      <c r="I27" s="22" t="inlineStr">
        <is>
          <t>PASS</t>
        </is>
      </c>
      <c r="J27" s="22" t="inlineStr">
        <is>
          <t>PASS</t>
        </is>
      </c>
      <c r="K27" s="22" t="inlineStr">
        <is>
          <t>PASS</t>
        </is>
      </c>
      <c r="L27" s="22" t="inlineStr">
        <is>
          <t>PASS</t>
        </is>
      </c>
      <c r="M27" s="22" t="inlineStr">
        <is>
          <t>PASS</t>
        </is>
      </c>
      <c r="N27" s="22" t="inlineStr">
        <is>
          <t>PASS</t>
        </is>
      </c>
      <c r="O27" s="22" t="inlineStr">
        <is>
          <t>PASS</t>
        </is>
      </c>
      <c r="P27" s="24" t="inlineStr">
        <is>
          <t>NO SOURCE</t>
        </is>
      </c>
      <c r="Q27" s="24" t="inlineStr">
        <is>
          <t>NO SOURCE</t>
        </is>
      </c>
      <c r="R27" s="24" t="inlineStr">
        <is>
          <t>NO SOURCE</t>
        </is>
      </c>
      <c r="S27" s="36" t="inlineStr">
        <is>
          <t>Not run</t>
        </is>
      </c>
      <c r="T27" s="25" t="inlineStr"/>
    </row>
    <row r="28">
      <c r="A28" s="36" t="n">
        <v>24</v>
      </c>
      <c r="B28" s="37" t="inlineStr">
        <is>
          <t>Tangen Residences</t>
        </is>
      </c>
      <c r="C28" s="38" t="inlineStr">
        <is>
          <t>Pass</t>
        </is>
      </c>
      <c r="D28" s="24" t="inlineStr">
        <is>
          <t>NO SOURCE</t>
        </is>
      </c>
      <c r="E28" s="36" t="inlineStr">
        <is>
          <t>—</t>
        </is>
      </c>
      <c r="F28" s="24" t="inlineStr">
        <is>
          <t>NO SOURCE</t>
        </is>
      </c>
      <c r="G28" s="24" t="inlineStr">
        <is>
          <t>NO SOURCE</t>
        </is>
      </c>
      <c r="H28" s="22" t="inlineStr">
        <is>
          <t>PASS</t>
        </is>
      </c>
      <c r="I28" s="22" t="inlineStr">
        <is>
          <t>PASS</t>
        </is>
      </c>
      <c r="J28" s="22" t="inlineStr">
        <is>
          <t>PASS</t>
        </is>
      </c>
      <c r="K28" s="22" t="inlineStr">
        <is>
          <t>PASS</t>
        </is>
      </c>
      <c r="L28" s="22" t="inlineStr">
        <is>
          <t>PASS</t>
        </is>
      </c>
      <c r="M28" s="22" t="inlineStr">
        <is>
          <t>PASS</t>
        </is>
      </c>
      <c r="N28" s="22" t="inlineStr">
        <is>
          <t>PASS</t>
        </is>
      </c>
      <c r="O28" s="22" t="inlineStr">
        <is>
          <t>PASS</t>
        </is>
      </c>
      <c r="P28" s="24" t="inlineStr">
        <is>
          <t>NO SOURCE</t>
        </is>
      </c>
      <c r="Q28" s="24" t="inlineStr">
        <is>
          <t>NO SOURCE</t>
        </is>
      </c>
      <c r="R28" s="24" t="inlineStr">
        <is>
          <t>NO SOURCE</t>
        </is>
      </c>
      <c r="S28" s="22" t="inlineStr">
        <is>
          <t>Pass</t>
        </is>
      </c>
      <c r="T28" s="25" t="inlineStr"/>
    </row>
    <row r="29">
      <c r="A29" s="36" t="n">
        <v>25</v>
      </c>
      <c r="B29" s="37" t="inlineStr">
        <is>
          <t>Miranda Hill @ north kiara by BRDB</t>
        </is>
      </c>
      <c r="C29" s="38" t="inlineStr">
        <is>
          <t>Pass</t>
        </is>
      </c>
      <c r="D29" s="24" t="inlineStr">
        <is>
          <t>NO SOURCE</t>
        </is>
      </c>
      <c r="E29" s="36" t="inlineStr">
        <is>
          <t>—</t>
        </is>
      </c>
      <c r="F29" s="24" t="inlineStr">
        <is>
          <t>NO SOURCE</t>
        </is>
      </c>
      <c r="G29" s="24" t="inlineStr">
        <is>
          <t>NO SOURCE</t>
        </is>
      </c>
      <c r="H29" s="22" t="inlineStr">
        <is>
          <t>PASS</t>
        </is>
      </c>
      <c r="I29" s="22" t="inlineStr">
        <is>
          <t>PASS</t>
        </is>
      </c>
      <c r="J29" s="22" t="inlineStr">
        <is>
          <t>PASS</t>
        </is>
      </c>
      <c r="K29" s="24" t="inlineStr">
        <is>
          <t>NO SOURCE</t>
        </is>
      </c>
      <c r="L29" s="22" t="inlineStr">
        <is>
          <t>PASS</t>
        </is>
      </c>
      <c r="M29" s="22" t="inlineStr">
        <is>
          <t>PASS</t>
        </is>
      </c>
      <c r="N29" s="24" t="inlineStr">
        <is>
          <t>NO SOURCE</t>
        </is>
      </c>
      <c r="O29" s="22" t="inlineStr">
        <is>
          <t>PASS</t>
        </is>
      </c>
      <c r="P29" s="36" t="inlineStr">
        <is>
          <t>—</t>
        </is>
      </c>
      <c r="Q29" s="24" t="inlineStr">
        <is>
          <t>NO SOURCE</t>
        </is>
      </c>
      <c r="R29" s="24" t="inlineStr">
        <is>
          <t>NO SOURCE</t>
        </is>
      </c>
      <c r="S29" s="22" t="inlineStr">
        <is>
          <t>Pass</t>
        </is>
      </c>
      <c r="T29" s="25" t="inlineStr"/>
    </row>
    <row r="30">
      <c r="A30" s="36" t="n">
        <v>26</v>
      </c>
      <c r="B30" s="37" t="inlineStr">
        <is>
          <t>Alstonia Hilltop Homes</t>
        </is>
      </c>
      <c r="C30" s="38" t="inlineStr">
        <is>
          <t>Pass</t>
        </is>
      </c>
      <c r="D30" s="24" t="inlineStr">
        <is>
          <t>NO SOURCE</t>
        </is>
      </c>
      <c r="E30" s="36" t="inlineStr">
        <is>
          <t>—</t>
        </is>
      </c>
      <c r="F30" s="24" t="inlineStr">
        <is>
          <t>NO SOURCE</t>
        </is>
      </c>
      <c r="G30" s="24" t="inlineStr">
        <is>
          <t>NO SOURCE</t>
        </is>
      </c>
      <c r="H30" s="22" t="inlineStr">
        <is>
          <t>PASS</t>
        </is>
      </c>
      <c r="I30" s="22" t="inlineStr">
        <is>
          <t>PASS</t>
        </is>
      </c>
      <c r="J30" s="22" t="inlineStr">
        <is>
          <t>PASS</t>
        </is>
      </c>
      <c r="K30" s="24" t="inlineStr">
        <is>
          <t>NO SOURCE</t>
        </is>
      </c>
      <c r="L30" s="22" t="inlineStr">
        <is>
          <t>PASS</t>
        </is>
      </c>
      <c r="M30" s="22" t="inlineStr">
        <is>
          <t>PASS</t>
        </is>
      </c>
      <c r="N30" s="24" t="inlineStr">
        <is>
          <t>NO SOURCE</t>
        </is>
      </c>
      <c r="O30" s="22" t="inlineStr">
        <is>
          <t>PASS</t>
        </is>
      </c>
      <c r="P30" s="36" t="inlineStr">
        <is>
          <t>—</t>
        </is>
      </c>
      <c r="Q30" s="36" t="inlineStr">
        <is>
          <t>—</t>
        </is>
      </c>
      <c r="R30" s="36" t="inlineStr">
        <is>
          <t>—</t>
        </is>
      </c>
      <c r="S30" s="30" t="inlineStr">
        <is>
          <t>Fail</t>
        </is>
      </c>
      <c r="T30" s="25" t="inlineStr"/>
    </row>
    <row r="31">
      <c r="A31" s="36" t="n">
        <v>27</v>
      </c>
      <c r="B31" s="37" t="inlineStr">
        <is>
          <t>Binastra Cochrane</t>
        </is>
      </c>
      <c r="C31" s="38" t="inlineStr">
        <is>
          <t>Pass</t>
        </is>
      </c>
      <c r="D31" s="36" t="inlineStr">
        <is>
          <t>—</t>
        </is>
      </c>
      <c r="E31" s="36" t="inlineStr">
        <is>
          <t>—</t>
        </is>
      </c>
      <c r="F31" s="36" t="inlineStr">
        <is>
          <t>—</t>
        </is>
      </c>
      <c r="G31" s="36" t="inlineStr">
        <is>
          <t>—</t>
        </is>
      </c>
      <c r="H31" s="36" t="inlineStr">
        <is>
          <t>—</t>
        </is>
      </c>
      <c r="I31" s="36" t="inlineStr">
        <is>
          <t>—</t>
        </is>
      </c>
      <c r="J31" s="36" t="inlineStr">
        <is>
          <t>—</t>
        </is>
      </c>
      <c r="K31" s="36" t="inlineStr">
        <is>
          <t>—</t>
        </is>
      </c>
      <c r="L31" s="36" t="inlineStr">
        <is>
          <t>—</t>
        </is>
      </c>
      <c r="M31" s="36" t="inlineStr">
        <is>
          <t>—</t>
        </is>
      </c>
      <c r="N31" s="36" t="inlineStr">
        <is>
          <t>—</t>
        </is>
      </c>
      <c r="O31" s="36" t="inlineStr">
        <is>
          <t>—</t>
        </is>
      </c>
      <c r="P31" s="36" t="inlineStr">
        <is>
          <t>—</t>
        </is>
      </c>
      <c r="Q31" s="36" t="inlineStr">
        <is>
          <t>—</t>
        </is>
      </c>
      <c r="R31" s="36" t="inlineStr">
        <is>
          <t>—</t>
        </is>
      </c>
      <c r="S31" s="29" t="inlineStr">
        <is>
          <t>Needs ruling</t>
        </is>
      </c>
      <c r="T31" s="25" t="inlineStr">
        <is>
          <t>Correctly says it is not in D2 inventory</t>
        </is>
      </c>
    </row>
    <row r="32">
      <c r="A32" s="36" t="n">
        <v>28</v>
      </c>
      <c r="B32" s="37" t="inlineStr">
        <is>
          <t>Eden BRDB, Taman Duta</t>
        </is>
      </c>
      <c r="C32" s="38" t="inlineStr">
        <is>
          <t>Pass</t>
        </is>
      </c>
      <c r="D32" s="22" t="inlineStr">
        <is>
          <t>PASS</t>
        </is>
      </c>
      <c r="E32" s="22" t="inlineStr">
        <is>
          <t>PASS</t>
        </is>
      </c>
      <c r="F32" s="22" t="inlineStr">
        <is>
          <t>PASS</t>
        </is>
      </c>
      <c r="G32" s="22" t="inlineStr">
        <is>
          <t>PASS</t>
        </is>
      </c>
      <c r="H32" s="22" t="inlineStr">
        <is>
          <t>PASS</t>
        </is>
      </c>
      <c r="I32" s="22" t="inlineStr">
        <is>
          <t>PASS</t>
        </is>
      </c>
      <c r="J32" s="36" t="inlineStr">
        <is>
          <t>—</t>
        </is>
      </c>
      <c r="K32" s="22" t="inlineStr">
        <is>
          <t>PASS</t>
        </is>
      </c>
      <c r="L32" s="22" t="inlineStr">
        <is>
          <t>PASS</t>
        </is>
      </c>
      <c r="M32" s="22" t="inlineStr">
        <is>
          <t>PASS</t>
        </is>
      </c>
      <c r="N32" s="22" t="inlineStr">
        <is>
          <t>PASS</t>
        </is>
      </c>
      <c r="O32" s="22" t="inlineStr">
        <is>
          <t>PASS</t>
        </is>
      </c>
      <c r="P32" s="24" t="inlineStr">
        <is>
          <t>NO SOURCE</t>
        </is>
      </c>
      <c r="Q32" s="24" t="inlineStr">
        <is>
          <t>NO SOURCE</t>
        </is>
      </c>
      <c r="R32" s="24" t="inlineStr">
        <is>
          <t>NO SOURCE</t>
        </is>
      </c>
      <c r="S32" s="36" t="inlineStr">
        <is>
          <t>Not run</t>
        </is>
      </c>
      <c r="T32" s="25" t="inlineStr"/>
    </row>
    <row r="33">
      <c r="A33" s="36" t="n">
        <v>29</v>
      </c>
      <c r="B33" s="37" t="inlineStr">
        <is>
          <t>Majestic @ Kiara Reserve</t>
        </is>
      </c>
      <c r="C33" s="41" t="inlineStr">
        <is>
          <t>Needs ruling</t>
        </is>
      </c>
      <c r="D33" s="24" t="inlineStr">
        <is>
          <t>NO SOURCE</t>
        </is>
      </c>
      <c r="E33" s="24" t="inlineStr">
        <is>
          <t>NO SOURCE</t>
        </is>
      </c>
      <c r="F33" s="24" t="inlineStr">
        <is>
          <t>NO SOURCE</t>
        </is>
      </c>
      <c r="G33" s="24" t="inlineStr">
        <is>
          <t>NO SOURCE</t>
        </is>
      </c>
      <c r="H33" s="24" t="inlineStr">
        <is>
          <t>NO SOURCE</t>
        </is>
      </c>
      <c r="I33" s="29" t="inlineStr">
        <is>
          <t>CONFLICT</t>
        </is>
      </c>
      <c r="J33" s="22" t="inlineStr">
        <is>
          <t>PASS</t>
        </is>
      </c>
      <c r="K33" s="22" t="inlineStr">
        <is>
          <t>PASS</t>
        </is>
      </c>
      <c r="L33" s="22" t="inlineStr">
        <is>
          <t>PASS</t>
        </is>
      </c>
      <c r="M33" s="24" t="inlineStr">
        <is>
          <t>NO SOURCE</t>
        </is>
      </c>
      <c r="N33" s="24" t="inlineStr">
        <is>
          <t>NO SOURCE</t>
        </is>
      </c>
      <c r="O33" s="22" t="inlineStr">
        <is>
          <t>PASS</t>
        </is>
      </c>
      <c r="P33" s="24" t="inlineStr">
        <is>
          <t>NO SOURCE</t>
        </is>
      </c>
      <c r="Q33" s="24" t="inlineStr">
        <is>
          <t>NO SOURCE</t>
        </is>
      </c>
      <c r="R33" s="24" t="inlineStr">
        <is>
          <t>NO SOURCE</t>
        </is>
      </c>
      <c r="S33" s="36" t="inlineStr">
        <is>
          <t>Not run</t>
        </is>
      </c>
      <c r="T33" s="25" t="inlineStr">
        <is>
          <t>Developer: Rows 91-93 look offset by one; the sheet value (Excellent Bonanza / GSH) looks like St. Regis's developer</t>
        </is>
      </c>
    </row>
    <row r="34">
      <c r="A34" s="36" t="n">
        <v>30</v>
      </c>
      <c r="B34" s="37" t="inlineStr">
        <is>
          <t>St. Regis Residences Kuala Lumpur</t>
        </is>
      </c>
      <c r="C34" s="41" t="inlineStr">
        <is>
          <t>Needs ruling</t>
        </is>
      </c>
      <c r="D34" s="24" t="inlineStr">
        <is>
          <t>NO SOURCE</t>
        </is>
      </c>
      <c r="E34" s="24" t="inlineStr">
        <is>
          <t>NO SOURCE</t>
        </is>
      </c>
      <c r="F34" s="24" t="inlineStr">
        <is>
          <t>NO SOURCE</t>
        </is>
      </c>
      <c r="G34" s="24" t="inlineStr">
        <is>
          <t>NO SOURCE</t>
        </is>
      </c>
      <c r="H34" s="24" t="inlineStr">
        <is>
          <t>NO SOURCE</t>
        </is>
      </c>
      <c r="I34" s="29" t="inlineStr">
        <is>
          <t>CONFLICT</t>
        </is>
      </c>
      <c r="J34" s="36" t="inlineStr">
        <is>
          <t>—</t>
        </is>
      </c>
      <c r="K34" s="36" t="inlineStr">
        <is>
          <t>—</t>
        </is>
      </c>
      <c r="L34" s="22" t="inlineStr">
        <is>
          <t>PASS</t>
        </is>
      </c>
      <c r="M34" s="36" t="inlineStr">
        <is>
          <t>—</t>
        </is>
      </c>
      <c r="N34" s="22" t="inlineStr">
        <is>
          <t>PASS</t>
        </is>
      </c>
      <c r="O34" s="22" t="inlineStr">
        <is>
          <t>PASS</t>
        </is>
      </c>
      <c r="P34" s="24" t="inlineStr">
        <is>
          <t>NO SOURCE</t>
        </is>
      </c>
      <c r="Q34" s="24" t="inlineStr">
        <is>
          <t>NO SOURCE</t>
        </is>
      </c>
      <c r="R34" s="24" t="inlineStr">
        <is>
          <t>NO SOURCE</t>
        </is>
      </c>
      <c r="S34" s="36" t="inlineStr">
        <is>
          <t>Not run</t>
        </is>
      </c>
      <c r="T34" s="25" t="inlineStr">
        <is>
          <t>Developer: Bot: "Excellent Bonanza (GSH) / UOA" (write-up + fact sheet). Rows 91-93 look offset by one</t>
        </is>
      </c>
    </row>
    <row r="35">
      <c r="A35" s="36" t="n">
        <v>31</v>
      </c>
      <c r="B35" s="37" t="inlineStr">
        <is>
          <t>Aster Hill Sri Petaling</t>
        </is>
      </c>
      <c r="C35" s="41" t="inlineStr">
        <is>
          <t>Needs ruling</t>
        </is>
      </c>
      <c r="D35" s="24" t="inlineStr">
        <is>
          <t>NO SOURCE</t>
        </is>
      </c>
      <c r="E35" s="36" t="inlineStr">
        <is>
          <t>—</t>
        </is>
      </c>
      <c r="F35" s="24" t="inlineStr">
        <is>
          <t>NO SOURCE</t>
        </is>
      </c>
      <c r="G35" s="24" t="inlineStr">
        <is>
          <t>NO SOURCE</t>
        </is>
      </c>
      <c r="H35" s="22" t="inlineStr">
        <is>
          <t>PASS</t>
        </is>
      </c>
      <c r="I35" s="29" t="inlineStr">
        <is>
          <t>CONFLICT</t>
        </is>
      </c>
      <c r="J35" s="22" t="inlineStr">
        <is>
          <t>PASS</t>
        </is>
      </c>
      <c r="K35" s="22" t="inlineStr">
        <is>
          <t>PASS</t>
        </is>
      </c>
      <c r="L35" s="22" t="inlineStr">
        <is>
          <t>PASS</t>
        </is>
      </c>
      <c r="M35" s="22" t="inlineStr">
        <is>
          <t>PASS</t>
        </is>
      </c>
      <c r="N35" s="24" t="inlineStr">
        <is>
          <t>NO SOURCE</t>
        </is>
      </c>
      <c r="O35" s="22" t="inlineStr">
        <is>
          <t>PASS</t>
        </is>
      </c>
      <c r="P35" s="24" t="inlineStr">
        <is>
          <t>NO SOURCE</t>
        </is>
      </c>
      <c r="Q35" s="24" t="inlineStr">
        <is>
          <t>NO SOURCE</t>
        </is>
      </c>
      <c r="R35" s="24" t="inlineStr">
        <is>
          <t>NO SOURCE</t>
        </is>
      </c>
      <c r="S35" s="36" t="inlineStr">
        <is>
          <t>Not run</t>
        </is>
      </c>
      <c r="T35" s="25" t="inlineStr">
        <is>
          <t>Developer: Bot: UOA (Aster Hill write-up); sheet: SCP. Rows 91-93 look offset by one</t>
        </is>
      </c>
    </row>
    <row r="36">
      <c r="A36" s="36" t="n">
        <v>32</v>
      </c>
      <c r="B36" s="37" t="inlineStr">
        <is>
          <t>Exsim Project</t>
        </is>
      </c>
      <c r="C36" s="38" t="inlineStr">
        <is>
          <t>Pass</t>
        </is>
      </c>
      <c r="D36" s="36" t="inlineStr">
        <is>
          <t>—</t>
        </is>
      </c>
      <c r="E36" s="36" t="inlineStr">
        <is>
          <t>—</t>
        </is>
      </c>
      <c r="F36" s="24" t="inlineStr">
        <is>
          <t>NO SOURCE</t>
        </is>
      </c>
      <c r="G36" s="24" t="inlineStr">
        <is>
          <t>NO SOURCE</t>
        </is>
      </c>
      <c r="H36" s="24" t="inlineStr">
        <is>
          <t>NO SOURCE</t>
        </is>
      </c>
      <c r="I36" s="24" t="inlineStr">
        <is>
          <t>NO SOURCE</t>
        </is>
      </c>
      <c r="J36" s="36" t="inlineStr">
        <is>
          <t>—</t>
        </is>
      </c>
      <c r="K36" s="36" t="inlineStr">
        <is>
          <t>—</t>
        </is>
      </c>
      <c r="L36" s="24" t="inlineStr">
        <is>
          <t>NO SOURCE</t>
        </is>
      </c>
      <c r="M36" s="36" t="inlineStr">
        <is>
          <t>—</t>
        </is>
      </c>
      <c r="N36" s="36" t="inlineStr">
        <is>
          <t>—</t>
        </is>
      </c>
      <c r="O36" s="36" t="inlineStr">
        <is>
          <t>—</t>
        </is>
      </c>
      <c r="P36" s="24" t="inlineStr">
        <is>
          <t>NO SOURCE</t>
        </is>
      </c>
      <c r="Q36" s="36" t="inlineStr">
        <is>
          <t>—</t>
        </is>
      </c>
      <c r="R36" s="36" t="inlineStr">
        <is>
          <t>—</t>
        </is>
      </c>
      <c r="S36" s="22" t="inlineStr">
        <is>
          <t>Pass</t>
        </is>
      </c>
      <c r="T36" s="25" t="inlineStr"/>
    </row>
    <row r="37">
      <c r="A37" s="36" t="n">
        <v>33</v>
      </c>
      <c r="B37" s="37" t="inlineStr">
        <is>
          <t>Kensho @ Taman Desa</t>
        </is>
      </c>
      <c r="C37" s="38" t="inlineStr">
        <is>
          <t>Pass</t>
        </is>
      </c>
      <c r="D37" s="24" t="inlineStr">
        <is>
          <t>NO SOURCE</t>
        </is>
      </c>
      <c r="E37" s="24" t="inlineStr">
        <is>
          <t>NO SOURCE</t>
        </is>
      </c>
      <c r="F37" s="24" t="inlineStr">
        <is>
          <t>NO SOURCE</t>
        </is>
      </c>
      <c r="G37" s="24" t="inlineStr">
        <is>
          <t>NO SOURCE</t>
        </is>
      </c>
      <c r="H37" s="22" t="inlineStr">
        <is>
          <t>PASS</t>
        </is>
      </c>
      <c r="I37" s="22" t="inlineStr">
        <is>
          <t>PASS</t>
        </is>
      </c>
      <c r="J37" s="22" t="inlineStr">
        <is>
          <t>PASS</t>
        </is>
      </c>
      <c r="K37" s="22" t="inlineStr">
        <is>
          <t>PASS</t>
        </is>
      </c>
      <c r="L37" s="22" t="inlineStr">
        <is>
          <t>PASS</t>
        </is>
      </c>
      <c r="M37" s="24" t="inlineStr">
        <is>
          <t>NO SOURCE</t>
        </is>
      </c>
      <c r="N37" s="36" t="inlineStr">
        <is>
          <t>—</t>
        </is>
      </c>
      <c r="O37" s="22" t="inlineStr">
        <is>
          <t>PASS</t>
        </is>
      </c>
      <c r="P37" s="24" t="inlineStr">
        <is>
          <t>NO SOURCE</t>
        </is>
      </c>
      <c r="Q37" s="24" t="inlineStr">
        <is>
          <t>NO SOURCE</t>
        </is>
      </c>
      <c r="R37" s="24" t="inlineStr">
        <is>
          <t>NO SOURCE</t>
        </is>
      </c>
      <c r="S37" s="22" t="inlineStr">
        <is>
          <t>Pass</t>
        </is>
      </c>
      <c r="T37" s="25" t="inlineStr">
        <is>
          <t>Developer: matches the sheet, but also gives "SCP" from its own write-up (the sheet has it in Aster Hill Sri Petaling's row: Developer column offset)</t>
        </is>
      </c>
    </row>
    <row r="38">
      <c r="A38" s="36" t="n">
        <v>34</v>
      </c>
      <c r="B38" s="37" t="inlineStr">
        <is>
          <t>Aetas Taman Desa</t>
        </is>
      </c>
      <c r="C38" s="38" t="inlineStr">
        <is>
          <t>Pass</t>
        </is>
      </c>
      <c r="D38" s="24" t="inlineStr">
        <is>
          <t>NO SOURCE</t>
        </is>
      </c>
      <c r="E38" s="36" t="inlineStr">
        <is>
          <t>—</t>
        </is>
      </c>
      <c r="F38" s="24" t="inlineStr">
        <is>
          <t>NO SOURCE</t>
        </is>
      </c>
      <c r="G38" s="24" t="inlineStr">
        <is>
          <t>NO SOURCE</t>
        </is>
      </c>
      <c r="H38" s="22" t="inlineStr">
        <is>
          <t>PASS</t>
        </is>
      </c>
      <c r="I38" s="22" t="inlineStr">
        <is>
          <t>PASS</t>
        </is>
      </c>
      <c r="J38" s="36" t="inlineStr">
        <is>
          <t>—</t>
        </is>
      </c>
      <c r="K38" s="22" t="inlineStr">
        <is>
          <t>PASS</t>
        </is>
      </c>
      <c r="L38" s="22" t="inlineStr">
        <is>
          <t>PASS</t>
        </is>
      </c>
      <c r="M38" s="22" t="inlineStr">
        <is>
          <t>PASS</t>
        </is>
      </c>
      <c r="N38" s="22" t="inlineStr">
        <is>
          <t>PASS</t>
        </is>
      </c>
      <c r="O38" s="22" t="inlineStr">
        <is>
          <t>PASS</t>
        </is>
      </c>
      <c r="P38" s="36" t="inlineStr">
        <is>
          <t>—</t>
        </is>
      </c>
      <c r="Q38" s="36" t="inlineStr">
        <is>
          <t>—</t>
        </is>
      </c>
      <c r="R38" s="24" t="inlineStr">
        <is>
          <t>NO SOURCE</t>
        </is>
      </c>
      <c r="S38" s="22" t="inlineStr">
        <is>
          <t>Pass</t>
        </is>
      </c>
      <c r="T38" s="25" t="inlineStr"/>
    </row>
    <row r="39">
      <c r="A39" s="36" t="n">
        <v>35</v>
      </c>
      <c r="B39" s="37" t="inlineStr">
        <is>
          <t>Southpoint Residences (IGB )</t>
        </is>
      </c>
      <c r="C39" s="38" t="inlineStr">
        <is>
          <t>Pass</t>
        </is>
      </c>
      <c r="D39" s="22" t="inlineStr">
        <is>
          <t>PASS</t>
        </is>
      </c>
      <c r="E39" s="22" t="inlineStr">
        <is>
          <t>PASS</t>
        </is>
      </c>
      <c r="F39" s="36" t="inlineStr">
        <is>
          <t>—</t>
        </is>
      </c>
      <c r="G39" s="36" t="inlineStr">
        <is>
          <t>—</t>
        </is>
      </c>
      <c r="H39" s="24" t="inlineStr">
        <is>
          <t>NO SOURCE</t>
        </is>
      </c>
      <c r="I39" s="22" t="inlineStr">
        <is>
          <t>PASS</t>
        </is>
      </c>
      <c r="J39" s="36" t="inlineStr">
        <is>
          <t>—</t>
        </is>
      </c>
      <c r="K39" s="22" t="inlineStr">
        <is>
          <t>PASS</t>
        </is>
      </c>
      <c r="L39" s="22" t="inlineStr">
        <is>
          <t>PASS</t>
        </is>
      </c>
      <c r="M39" s="22" t="inlineStr">
        <is>
          <t>PASS</t>
        </is>
      </c>
      <c r="N39" s="24" t="inlineStr">
        <is>
          <t>NO SOURCE</t>
        </is>
      </c>
      <c r="O39" s="24" t="inlineStr">
        <is>
          <t>NO SOURCE</t>
        </is>
      </c>
      <c r="P39" s="24" t="inlineStr">
        <is>
          <t>NO SOURCE</t>
        </is>
      </c>
      <c r="Q39" s="36" t="inlineStr">
        <is>
          <t>—</t>
        </is>
      </c>
      <c r="R39" s="36" t="inlineStr">
        <is>
          <t>—</t>
        </is>
      </c>
      <c r="S39" s="36" t="inlineStr">
        <is>
          <t>Not run</t>
        </is>
      </c>
      <c r="T39" s="25" t="inlineStr"/>
    </row>
    <row r="40">
      <c r="A40" s="36" t="n">
        <v>36</v>
      </c>
      <c r="B40" s="37" t="inlineStr">
        <is>
          <t>Park Green at Pavilion Bukit Jalil</t>
        </is>
      </c>
      <c r="C40" s="38" t="inlineStr">
        <is>
          <t>Pass</t>
        </is>
      </c>
      <c r="D40" s="24" t="inlineStr">
        <is>
          <t>NO SOURCE</t>
        </is>
      </c>
      <c r="E40" s="36" t="inlineStr">
        <is>
          <t>—</t>
        </is>
      </c>
      <c r="F40" s="24" t="inlineStr">
        <is>
          <t>NO SOURCE</t>
        </is>
      </c>
      <c r="G40" s="24" t="inlineStr">
        <is>
          <t>NO SOURCE</t>
        </is>
      </c>
      <c r="H40" s="22" t="inlineStr">
        <is>
          <t>PASS</t>
        </is>
      </c>
      <c r="I40" s="22" t="inlineStr">
        <is>
          <t>PASS</t>
        </is>
      </c>
      <c r="J40" s="36" t="inlineStr">
        <is>
          <t>—</t>
        </is>
      </c>
      <c r="K40" s="22" t="inlineStr">
        <is>
          <t>PASS</t>
        </is>
      </c>
      <c r="L40" s="22" t="inlineStr">
        <is>
          <t>PASS</t>
        </is>
      </c>
      <c r="M40" s="22" t="inlineStr">
        <is>
          <t>PASS</t>
        </is>
      </c>
      <c r="N40" s="22" t="inlineStr">
        <is>
          <t>PASS</t>
        </is>
      </c>
      <c r="O40" s="24" t="inlineStr">
        <is>
          <t>NO SOURCE</t>
        </is>
      </c>
      <c r="P40" s="36" t="inlineStr">
        <is>
          <t>—</t>
        </is>
      </c>
      <c r="Q40" s="24" t="inlineStr">
        <is>
          <t>NO SOURCE</t>
        </is>
      </c>
      <c r="R40" s="24" t="inlineStr">
        <is>
          <t>NO SOURCE</t>
        </is>
      </c>
      <c r="S40" s="22" t="inlineStr">
        <is>
          <t>Pass</t>
        </is>
      </c>
      <c r="T40" s="25" t="inlineStr"/>
    </row>
    <row r="41">
      <c r="A41" s="36" t="n">
        <v>37</v>
      </c>
      <c r="B41" s="37" t="inlineStr">
        <is>
          <t>OAKA Residences, Bukit Jalil</t>
        </is>
      </c>
      <c r="C41" s="38" t="inlineStr">
        <is>
          <t>Pass</t>
        </is>
      </c>
      <c r="D41" s="24" t="inlineStr">
        <is>
          <t>NO SOURCE</t>
        </is>
      </c>
      <c r="E41" s="36" t="inlineStr">
        <is>
          <t>—</t>
        </is>
      </c>
      <c r="F41" s="24" t="inlineStr">
        <is>
          <t>NO SOURCE</t>
        </is>
      </c>
      <c r="G41" s="24" t="inlineStr">
        <is>
          <t>NO SOURCE</t>
        </is>
      </c>
      <c r="H41" s="22" t="inlineStr">
        <is>
          <t>PASS</t>
        </is>
      </c>
      <c r="I41" s="22" t="inlineStr">
        <is>
          <t>PASS</t>
        </is>
      </c>
      <c r="J41" s="22" t="inlineStr">
        <is>
          <t>PASS</t>
        </is>
      </c>
      <c r="K41" s="22" t="inlineStr">
        <is>
          <t>PASS</t>
        </is>
      </c>
      <c r="L41" s="22" t="inlineStr">
        <is>
          <t>PASS</t>
        </is>
      </c>
      <c r="M41" s="22" t="inlineStr">
        <is>
          <t>PASS</t>
        </is>
      </c>
      <c r="N41" s="22" t="inlineStr">
        <is>
          <t>PASS</t>
        </is>
      </c>
      <c r="O41" s="22" t="inlineStr">
        <is>
          <t>PASS</t>
        </is>
      </c>
      <c r="P41" s="24" t="inlineStr">
        <is>
          <t>NO SOURCE</t>
        </is>
      </c>
      <c r="Q41" s="24" t="inlineStr">
        <is>
          <t>NO SOURCE</t>
        </is>
      </c>
      <c r="R41" s="24" t="inlineStr">
        <is>
          <t>NO SOURCE</t>
        </is>
      </c>
      <c r="S41" s="30" t="inlineStr">
        <is>
          <t>Fail</t>
        </is>
      </c>
      <c r="T41" s="25" t="inlineStr"/>
    </row>
    <row r="42">
      <c r="A42" s="36" t="n">
        <v>38</v>
      </c>
      <c r="B42" s="37" t="inlineStr">
        <is>
          <t>Senja The Jewel Collection</t>
        </is>
      </c>
      <c r="C42" s="41" t="inlineStr">
        <is>
          <t>Needs ruling</t>
        </is>
      </c>
      <c r="D42" s="24" t="inlineStr">
        <is>
          <t>NO SOURCE</t>
        </is>
      </c>
      <c r="E42" s="24" t="inlineStr">
        <is>
          <t>NO SOURCE</t>
        </is>
      </c>
      <c r="F42" s="24" t="inlineStr">
        <is>
          <t>NO SOURCE</t>
        </is>
      </c>
      <c r="G42" s="24" t="inlineStr">
        <is>
          <t>NO SOURCE</t>
        </is>
      </c>
      <c r="H42" s="22" t="inlineStr">
        <is>
          <t>PASS</t>
        </is>
      </c>
      <c r="I42" s="29" t="inlineStr">
        <is>
          <t>CONFLICT</t>
        </is>
      </c>
      <c r="J42" s="22" t="inlineStr">
        <is>
          <t>PASS</t>
        </is>
      </c>
      <c r="K42" s="24" t="inlineStr">
        <is>
          <t>NO SOURCE</t>
        </is>
      </c>
      <c r="L42" s="22" t="inlineStr">
        <is>
          <t>PASS</t>
        </is>
      </c>
      <c r="M42" s="22" t="inlineStr">
        <is>
          <t>PASS</t>
        </is>
      </c>
      <c r="N42" s="36" t="inlineStr">
        <is>
          <t>—</t>
        </is>
      </c>
      <c r="O42" s="22" t="inlineStr">
        <is>
          <t>PASS</t>
        </is>
      </c>
      <c r="P42" s="36" t="inlineStr">
        <is>
          <t>—</t>
        </is>
      </c>
      <c r="Q42" s="24" t="inlineStr">
        <is>
          <t>NO SOURCE</t>
        </is>
      </c>
      <c r="R42" s="36" t="inlineStr">
        <is>
          <t>—</t>
        </is>
      </c>
      <c r="S42" s="36" t="inlineStr">
        <is>
          <t>Not run</t>
        </is>
      </c>
      <c r="T42" s="25" t="inlineStr">
        <is>
          <t>Developer: Bot: BRDB (Senja WhatsApp); sheet: CCCG-WCT. Developer column offset in rows 114-125 (sheet value belongs to another row)</t>
        </is>
      </c>
    </row>
    <row r="43">
      <c r="A43" s="36" t="n">
        <v>39</v>
      </c>
      <c r="B43" s="37" t="inlineStr">
        <is>
          <t>18 Madge Uthant</t>
        </is>
      </c>
      <c r="C43" s="41" t="inlineStr">
        <is>
          <t>Needs ruling</t>
        </is>
      </c>
      <c r="D43" s="24" t="inlineStr">
        <is>
          <t>NO SOURCE</t>
        </is>
      </c>
      <c r="E43" s="36" t="inlineStr">
        <is>
          <t>—</t>
        </is>
      </c>
      <c r="F43" s="24" t="inlineStr">
        <is>
          <t>NO SOURCE</t>
        </is>
      </c>
      <c r="G43" s="24" t="inlineStr">
        <is>
          <t>NO SOURCE</t>
        </is>
      </c>
      <c r="H43" s="22" t="inlineStr">
        <is>
          <t>PASS</t>
        </is>
      </c>
      <c r="I43" s="29" t="inlineStr">
        <is>
          <t>CONFLICT</t>
        </is>
      </c>
      <c r="J43" s="22" t="inlineStr">
        <is>
          <t>PASS</t>
        </is>
      </c>
      <c r="K43" s="22" t="inlineStr">
        <is>
          <t>PASS</t>
        </is>
      </c>
      <c r="L43" s="22" t="inlineStr">
        <is>
          <t>PASS</t>
        </is>
      </c>
      <c r="M43" s="22" t="inlineStr">
        <is>
          <t>PASS</t>
        </is>
      </c>
      <c r="N43" s="22" t="inlineStr">
        <is>
          <t>PASS</t>
        </is>
      </c>
      <c r="O43" s="22" t="inlineStr">
        <is>
          <t>PASS</t>
        </is>
      </c>
      <c r="P43" s="36" t="inlineStr">
        <is>
          <t>—</t>
        </is>
      </c>
      <c r="Q43" s="24" t="inlineStr">
        <is>
          <t>NO SOURCE</t>
        </is>
      </c>
      <c r="R43" s="24" t="inlineStr">
        <is>
          <t>NO SOURCE</t>
        </is>
      </c>
      <c r="S43" s="36" t="inlineStr">
        <is>
          <t>Not run</t>
        </is>
      </c>
      <c r="T43" s="25" t="inlineStr">
        <is>
          <t>Developer: Sheet: Chin Hin. Developer column offset in rows 114-125 (sheet value belongs to another row)</t>
        </is>
      </c>
    </row>
    <row r="44">
      <c r="A44" s="36" t="n">
        <v>40</v>
      </c>
      <c r="B44" s="37" t="inlineStr">
        <is>
          <t>Aria Luxury Residence @ KLCC</t>
        </is>
      </c>
      <c r="C44" s="39" t="inlineStr">
        <is>
          <t>Partial</t>
        </is>
      </c>
      <c r="D44" s="24" t="inlineStr">
        <is>
          <t>NO SOURCE</t>
        </is>
      </c>
      <c r="E44" s="36" t="inlineStr">
        <is>
          <t>—</t>
        </is>
      </c>
      <c r="F44" s="24" t="inlineStr">
        <is>
          <t>NO SOURCE</t>
        </is>
      </c>
      <c r="G44" s="24" t="inlineStr">
        <is>
          <t>NO SOURCE</t>
        </is>
      </c>
      <c r="H44" s="22" t="inlineStr">
        <is>
          <t>PASS</t>
        </is>
      </c>
      <c r="I44" s="23" t="inlineStr">
        <is>
          <t>NOT STATED</t>
        </is>
      </c>
      <c r="J44" s="22" t="inlineStr">
        <is>
          <t>PASS</t>
        </is>
      </c>
      <c r="K44" s="22" t="inlineStr">
        <is>
          <t>PASS</t>
        </is>
      </c>
      <c r="L44" s="22" t="inlineStr">
        <is>
          <t>PASS</t>
        </is>
      </c>
      <c r="M44" s="22" t="inlineStr">
        <is>
          <t>PASS</t>
        </is>
      </c>
      <c r="N44" s="36" t="inlineStr">
        <is>
          <t>—</t>
        </is>
      </c>
      <c r="O44" s="36" t="inlineStr">
        <is>
          <t>—</t>
        </is>
      </c>
      <c r="P44" s="24" t="inlineStr">
        <is>
          <t>NO SOURCE</t>
        </is>
      </c>
      <c r="Q44" s="36" t="inlineStr">
        <is>
          <t>—</t>
        </is>
      </c>
      <c r="R44" s="36" t="inlineStr">
        <is>
          <t>—</t>
        </is>
      </c>
      <c r="S44" s="22" t="inlineStr">
        <is>
          <t>Pass</t>
        </is>
      </c>
      <c r="T44" s="25" t="inlineStr">
        <is>
          <t>Developer: Bot: not on record. Sheet: City View Ventures (GSH), which looks like Eaton's developer (offset)</t>
        </is>
      </c>
    </row>
    <row r="45">
      <c r="A45" s="36" t="n">
        <v>41</v>
      </c>
      <c r="B45" s="37" t="inlineStr">
        <is>
          <t>AT6 Residensi @ Ampang Tengah</t>
        </is>
      </c>
      <c r="C45" s="41" t="inlineStr">
        <is>
          <t>Needs ruling</t>
        </is>
      </c>
      <c r="D45" s="24" t="inlineStr">
        <is>
          <t>NO SOURCE</t>
        </is>
      </c>
      <c r="E45" s="36" t="inlineStr">
        <is>
          <t>—</t>
        </is>
      </c>
      <c r="F45" s="24" t="inlineStr">
        <is>
          <t>NO SOURCE</t>
        </is>
      </c>
      <c r="G45" s="24" t="inlineStr">
        <is>
          <t>NO SOURCE</t>
        </is>
      </c>
      <c r="H45" s="22" t="inlineStr">
        <is>
          <t>PASS</t>
        </is>
      </c>
      <c r="I45" s="29" t="inlineStr">
        <is>
          <t>CONFLICT</t>
        </is>
      </c>
      <c r="J45" s="36" t="inlineStr">
        <is>
          <t>—</t>
        </is>
      </c>
      <c r="K45" s="24" t="inlineStr">
        <is>
          <t>NO SOURCE</t>
        </is>
      </c>
      <c r="L45" s="22" t="inlineStr">
        <is>
          <t>PASS</t>
        </is>
      </c>
      <c r="M45" s="22" t="inlineStr">
        <is>
          <t>PASS</t>
        </is>
      </c>
      <c r="N45" s="24" t="inlineStr">
        <is>
          <t>NO SOURCE</t>
        </is>
      </c>
      <c r="O45" s="22" t="inlineStr">
        <is>
          <t>PASS</t>
        </is>
      </c>
      <c r="P45" s="36" t="inlineStr">
        <is>
          <t>—</t>
        </is>
      </c>
      <c r="Q45" s="24" t="inlineStr">
        <is>
          <t>NO SOURCE</t>
        </is>
      </c>
      <c r="R45" s="24" t="inlineStr">
        <is>
          <t>NO SOURCE</t>
        </is>
      </c>
      <c r="S45" s="36" t="inlineStr">
        <is>
          <t>Not run</t>
        </is>
      </c>
      <c r="T45" s="25" t="inlineStr">
        <is>
          <t>Developer: Sheet: Platinum Victory. Developer column offset in rows 114-125 (sheet value belongs to another row)</t>
        </is>
      </c>
    </row>
    <row r="46">
      <c r="A46" s="36" t="n">
        <v>42</v>
      </c>
      <c r="B46" s="37" t="inlineStr">
        <is>
          <t>Clouthaus KLCC</t>
        </is>
      </c>
      <c r="C46" s="41" t="inlineStr">
        <is>
          <t>Needs ruling</t>
        </is>
      </c>
      <c r="D46" s="24" t="inlineStr">
        <is>
          <t>NO SOURCE</t>
        </is>
      </c>
      <c r="E46" s="24" t="inlineStr">
        <is>
          <t>NO SOURCE</t>
        </is>
      </c>
      <c r="F46" s="24" t="inlineStr">
        <is>
          <t>NO SOURCE</t>
        </is>
      </c>
      <c r="G46" s="24" t="inlineStr">
        <is>
          <t>NO SOURCE</t>
        </is>
      </c>
      <c r="H46" s="22" t="inlineStr">
        <is>
          <t>PASS</t>
        </is>
      </c>
      <c r="I46" s="29" t="inlineStr">
        <is>
          <t>CONFLICT</t>
        </is>
      </c>
      <c r="J46" s="22" t="inlineStr">
        <is>
          <t>PASS</t>
        </is>
      </c>
      <c r="K46" s="24" t="inlineStr">
        <is>
          <t>NO SOURCE</t>
        </is>
      </c>
      <c r="L46" s="22" t="inlineStr">
        <is>
          <t>PASS</t>
        </is>
      </c>
      <c r="M46" s="22" t="inlineStr">
        <is>
          <t>PASS</t>
        </is>
      </c>
      <c r="N46" s="22" t="inlineStr">
        <is>
          <t>PASS</t>
        </is>
      </c>
      <c r="O46" s="22" t="inlineStr">
        <is>
          <t>PASS</t>
        </is>
      </c>
      <c r="P46" s="36" t="inlineStr">
        <is>
          <t>—</t>
        </is>
      </c>
      <c r="Q46" s="24" t="inlineStr">
        <is>
          <t>NO SOURCE</t>
        </is>
      </c>
      <c r="R46" s="24" t="inlineStr">
        <is>
          <t>NO SOURCE</t>
        </is>
      </c>
      <c r="S46" s="22" t="inlineStr">
        <is>
          <t>Pass</t>
        </is>
      </c>
      <c r="T46" s="25" t="inlineStr">
        <is>
          <t>Developer: Bot: TA Global; sheet: Armani Hallson KLCC Sdn Bhd. Developer column offset in rows 114-125 (sheet value belongs to another row)</t>
        </is>
      </c>
    </row>
    <row r="47">
      <c r="A47" s="36" t="n">
        <v>43</v>
      </c>
      <c r="B47" s="37" t="inlineStr">
        <is>
          <t>Conlay by E&amp;O</t>
        </is>
      </c>
      <c r="C47" s="41" t="inlineStr">
        <is>
          <t>Needs ruling</t>
        </is>
      </c>
      <c r="D47" s="24" t="inlineStr">
        <is>
          <t>NO SOURCE</t>
        </is>
      </c>
      <c r="E47" s="24" t="inlineStr">
        <is>
          <t>NO SOURCE</t>
        </is>
      </c>
      <c r="F47" s="24" t="inlineStr">
        <is>
          <t>NO SOURCE</t>
        </is>
      </c>
      <c r="G47" s="24" t="inlineStr">
        <is>
          <t>NO SOURCE</t>
        </is>
      </c>
      <c r="H47" s="22" t="inlineStr">
        <is>
          <t>PASS</t>
        </is>
      </c>
      <c r="I47" s="29" t="inlineStr">
        <is>
          <t>CONFLICT</t>
        </is>
      </c>
      <c r="J47" s="22" t="inlineStr">
        <is>
          <t>PASS</t>
        </is>
      </c>
      <c r="K47" s="22" t="inlineStr">
        <is>
          <t>PASS</t>
        </is>
      </c>
      <c r="L47" s="22" t="inlineStr">
        <is>
          <t>PASS</t>
        </is>
      </c>
      <c r="M47" s="22" t="inlineStr">
        <is>
          <t>PASS</t>
        </is>
      </c>
      <c r="N47" s="22" t="inlineStr">
        <is>
          <t>PASS</t>
        </is>
      </c>
      <c r="O47" s="22" t="inlineStr">
        <is>
          <t>PASS</t>
        </is>
      </c>
      <c r="P47" s="22" t="inlineStr">
        <is>
          <t>PASS</t>
        </is>
      </c>
      <c r="Q47" s="24" t="inlineStr">
        <is>
          <t>NO SOURCE</t>
        </is>
      </c>
      <c r="R47" s="36" t="inlineStr">
        <is>
          <t>—</t>
        </is>
      </c>
      <c r="S47" s="22" t="inlineStr">
        <is>
          <t>Pass</t>
        </is>
      </c>
      <c r="T47" s="25" t="inlineStr">
        <is>
          <t>Developer: Bot: "Patsawan Properties / Orion Tower"; sheet: Orion Tower. Developer column offset in rows 114-125 (sheet value belongs to another row)</t>
        </is>
      </c>
    </row>
    <row r="48">
      <c r="A48" s="36" t="n">
        <v>44</v>
      </c>
      <c r="B48" s="37" t="inlineStr">
        <is>
          <t>Core Residence @ TRX</t>
        </is>
      </c>
      <c r="C48" s="41" t="inlineStr">
        <is>
          <t>Needs ruling</t>
        </is>
      </c>
      <c r="D48" s="24" t="inlineStr">
        <is>
          <t>NO SOURCE</t>
        </is>
      </c>
      <c r="E48" s="24" t="inlineStr">
        <is>
          <t>NO SOURCE</t>
        </is>
      </c>
      <c r="F48" s="24" t="inlineStr">
        <is>
          <t>NO SOURCE</t>
        </is>
      </c>
      <c r="G48" s="24" t="inlineStr">
        <is>
          <t>NO SOURCE</t>
        </is>
      </c>
      <c r="H48" s="22" t="inlineStr">
        <is>
          <t>PASS</t>
        </is>
      </c>
      <c r="I48" s="29" t="inlineStr">
        <is>
          <t>CONFLICT</t>
        </is>
      </c>
      <c r="J48" s="22" t="inlineStr">
        <is>
          <t>PASS</t>
        </is>
      </c>
      <c r="K48" s="22" t="inlineStr">
        <is>
          <t>PASS</t>
        </is>
      </c>
      <c r="L48" s="22" t="inlineStr">
        <is>
          <t>PASS</t>
        </is>
      </c>
      <c r="M48" s="22" t="inlineStr">
        <is>
          <t>PASS</t>
        </is>
      </c>
      <c r="N48" s="24" t="inlineStr">
        <is>
          <t>NO SOURCE</t>
        </is>
      </c>
      <c r="O48" s="22" t="inlineStr">
        <is>
          <t>PASS</t>
        </is>
      </c>
      <c r="P48" s="22" t="inlineStr">
        <is>
          <t>PASS</t>
        </is>
      </c>
      <c r="Q48" s="24" t="inlineStr">
        <is>
          <t>NO SOURCE</t>
        </is>
      </c>
      <c r="R48" s="36" t="inlineStr">
        <is>
          <t>—</t>
        </is>
      </c>
      <c r="S48" s="22" t="inlineStr">
        <is>
          <t>Pass</t>
        </is>
      </c>
      <c r="T48" s="25" t="inlineStr">
        <is>
          <t>Developer: Bot: "CCCG-WCT / Armani Hartajaya" (WhatsApp + fact sheet); sheet: Armani Hartajaya. Developer column offset in rows 114-125 (sheet value belongs to another row)</t>
        </is>
      </c>
    </row>
    <row r="49">
      <c r="A49" s="36" t="n">
        <v>45</v>
      </c>
      <c r="B49" s="37" t="inlineStr">
        <is>
          <t>Dawn KLCC</t>
        </is>
      </c>
      <c r="C49" s="41" t="inlineStr">
        <is>
          <t>Needs ruling</t>
        </is>
      </c>
      <c r="D49" s="24" t="inlineStr">
        <is>
          <t>NO SOURCE</t>
        </is>
      </c>
      <c r="E49" s="24" t="inlineStr">
        <is>
          <t>NO SOURCE</t>
        </is>
      </c>
      <c r="F49" s="24" t="inlineStr">
        <is>
          <t>NO SOURCE</t>
        </is>
      </c>
      <c r="G49" s="24" t="inlineStr">
        <is>
          <t>NO SOURCE</t>
        </is>
      </c>
      <c r="H49" s="22" t="inlineStr">
        <is>
          <t>PASS</t>
        </is>
      </c>
      <c r="I49" s="29" t="inlineStr">
        <is>
          <t>CONFLICT</t>
        </is>
      </c>
      <c r="J49" s="22" t="inlineStr">
        <is>
          <t>PASS</t>
        </is>
      </c>
      <c r="K49" s="36" t="inlineStr">
        <is>
          <t>—</t>
        </is>
      </c>
      <c r="L49" s="22" t="inlineStr">
        <is>
          <t>PASS</t>
        </is>
      </c>
      <c r="M49" s="24" t="inlineStr">
        <is>
          <t>NO SOURCE</t>
        </is>
      </c>
      <c r="N49" s="24" t="inlineStr">
        <is>
          <t>NO SOURCE</t>
        </is>
      </c>
      <c r="O49" s="22" t="inlineStr">
        <is>
          <t>PASS</t>
        </is>
      </c>
      <c r="P49" s="24" t="inlineStr">
        <is>
          <t>NO SOURCE</t>
        </is>
      </c>
      <c r="Q49" s="36" t="inlineStr">
        <is>
          <t>—</t>
        </is>
      </c>
      <c r="R49" s="24" t="inlineStr">
        <is>
          <t>NO SOURCE</t>
        </is>
      </c>
      <c r="S49" s="22" t="inlineStr">
        <is>
          <t>Pass</t>
        </is>
      </c>
      <c r="T49" s="25" t="inlineStr">
        <is>
          <t>Developer: Bot: Dawn Land (Chin Hin affiliate); sheet: BSG Group. Developer column offset in rows 114-125 (sheet value belongs to another row)</t>
        </is>
      </c>
    </row>
    <row r="50">
      <c r="A50" s="36" t="n">
        <v>46</v>
      </c>
      <c r="B50" s="37" t="inlineStr">
        <is>
          <t>Eaton Residences by Sutera @ KLCC</t>
        </is>
      </c>
      <c r="C50" s="41" t="inlineStr">
        <is>
          <t>Needs ruling</t>
        </is>
      </c>
      <c r="D50" s="24" t="inlineStr">
        <is>
          <t>NO SOURCE</t>
        </is>
      </c>
      <c r="E50" s="24" t="inlineStr">
        <is>
          <t>NO SOURCE</t>
        </is>
      </c>
      <c r="F50" s="24" t="inlineStr">
        <is>
          <t>NO SOURCE</t>
        </is>
      </c>
      <c r="G50" s="24" t="inlineStr">
        <is>
          <t>NO SOURCE</t>
        </is>
      </c>
      <c r="H50" s="22" t="inlineStr">
        <is>
          <t>PASS</t>
        </is>
      </c>
      <c r="I50" s="29" t="inlineStr">
        <is>
          <t>CONFLICT</t>
        </is>
      </c>
      <c r="J50" s="36" t="inlineStr">
        <is>
          <t>—</t>
        </is>
      </c>
      <c r="K50" s="22" t="inlineStr">
        <is>
          <t>PASS</t>
        </is>
      </c>
      <c r="L50" s="22" t="inlineStr">
        <is>
          <t>PASS</t>
        </is>
      </c>
      <c r="M50" s="22" t="inlineStr">
        <is>
          <t>PASS</t>
        </is>
      </c>
      <c r="N50" s="24" t="inlineStr">
        <is>
          <t>NO SOURCE</t>
        </is>
      </c>
      <c r="O50" s="22" t="inlineStr">
        <is>
          <t>PASS</t>
        </is>
      </c>
      <c r="P50" s="24" t="inlineStr">
        <is>
          <t>NO SOURCE</t>
        </is>
      </c>
      <c r="Q50" s="24" t="inlineStr">
        <is>
          <t>NO SOURCE</t>
        </is>
      </c>
      <c r="R50" s="24" t="inlineStr">
        <is>
          <t>NO SOURCE</t>
        </is>
      </c>
      <c r="S50" s="22" t="inlineStr">
        <is>
          <t>Pass</t>
        </is>
      </c>
      <c r="T50" s="25" t="inlineStr">
        <is>
          <t>Developer: Bot: City View Ventures (GSH) (Eaton write-up); sheet: DAC / Intan Sekitar. Developer column offset in rows 114-125 (sheet value belongs to another row)</t>
        </is>
      </c>
    </row>
    <row r="51">
      <c r="A51" s="36" t="n">
        <v>47</v>
      </c>
      <c r="B51" s="37" t="inlineStr">
        <is>
          <t>Platinum Face Suite 2 KLCC</t>
        </is>
      </c>
      <c r="C51" s="41" t="inlineStr">
        <is>
          <t>Needs ruling</t>
        </is>
      </c>
      <c r="D51" s="24" t="inlineStr">
        <is>
          <t>NO SOURCE</t>
        </is>
      </c>
      <c r="E51" s="36" t="inlineStr">
        <is>
          <t>—</t>
        </is>
      </c>
      <c r="F51" s="24" t="inlineStr">
        <is>
          <t>NO SOURCE</t>
        </is>
      </c>
      <c r="G51" s="24" t="inlineStr">
        <is>
          <t>NO SOURCE</t>
        </is>
      </c>
      <c r="H51" s="22" t="inlineStr">
        <is>
          <t>PASS</t>
        </is>
      </c>
      <c r="I51" s="29" t="inlineStr">
        <is>
          <t>CONFLICT</t>
        </is>
      </c>
      <c r="J51" s="22" t="inlineStr">
        <is>
          <t>PASS</t>
        </is>
      </c>
      <c r="K51" s="22" t="inlineStr">
        <is>
          <t>PASS</t>
        </is>
      </c>
      <c r="L51" s="22" t="inlineStr">
        <is>
          <t>PASS</t>
        </is>
      </c>
      <c r="M51" s="22" t="inlineStr">
        <is>
          <t>PASS</t>
        </is>
      </c>
      <c r="N51" s="22" t="inlineStr">
        <is>
          <t>PASS</t>
        </is>
      </c>
      <c r="O51" s="22" t="inlineStr">
        <is>
          <t>PASS</t>
        </is>
      </c>
      <c r="P51" s="36" t="inlineStr">
        <is>
          <t>—</t>
        </is>
      </c>
      <c r="Q51" s="24" t="inlineStr">
        <is>
          <t>NO SOURCE</t>
        </is>
      </c>
      <c r="R51" s="24" t="inlineStr">
        <is>
          <t>NO SOURCE</t>
        </is>
      </c>
      <c r="S51" s="22" t="inlineStr">
        <is>
          <t>Pass</t>
        </is>
      </c>
      <c r="T51" s="25" t="inlineStr">
        <is>
          <t>Developer: Bot: "Andarama / Platinum Victory"; sheet: Andarama. Developer column offset in rows 114-125 (sheet value belongs to another row)</t>
        </is>
      </c>
    </row>
    <row r="52">
      <c r="A52" s="36" t="n">
        <v>48</v>
      </c>
      <c r="B52" s="37" t="inlineStr">
        <is>
          <t>Armani Hallson @ Jalan Ampang</t>
        </is>
      </c>
      <c r="C52" s="41" t="inlineStr">
        <is>
          <t>Needs ruling</t>
        </is>
      </c>
      <c r="D52" s="24" t="inlineStr">
        <is>
          <t>NO SOURCE</t>
        </is>
      </c>
      <c r="E52" s="36" t="inlineStr">
        <is>
          <t>—</t>
        </is>
      </c>
      <c r="F52" s="24" t="inlineStr">
        <is>
          <t>NO SOURCE</t>
        </is>
      </c>
      <c r="G52" s="24" t="inlineStr">
        <is>
          <t>NO SOURCE</t>
        </is>
      </c>
      <c r="H52" s="22" t="inlineStr">
        <is>
          <t>PASS</t>
        </is>
      </c>
      <c r="I52" s="29" t="inlineStr">
        <is>
          <t>CONFLICT</t>
        </is>
      </c>
      <c r="J52" s="36" t="inlineStr">
        <is>
          <t>—</t>
        </is>
      </c>
      <c r="K52" s="24" t="inlineStr">
        <is>
          <t>NO SOURCE</t>
        </is>
      </c>
      <c r="L52" s="22" t="inlineStr">
        <is>
          <t>PASS</t>
        </is>
      </c>
      <c r="M52" s="22" t="inlineStr">
        <is>
          <t>PASS</t>
        </is>
      </c>
      <c r="N52" s="24" t="inlineStr">
        <is>
          <t>NO SOURCE</t>
        </is>
      </c>
      <c r="O52" s="24" t="inlineStr">
        <is>
          <t>NO SOURCE</t>
        </is>
      </c>
      <c r="P52" s="24" t="inlineStr">
        <is>
          <t>NO SOURCE</t>
        </is>
      </c>
      <c r="Q52" s="24" t="inlineStr">
        <is>
          <t>NO SOURCE</t>
        </is>
      </c>
      <c r="R52" s="36" t="inlineStr">
        <is>
          <t>—</t>
        </is>
      </c>
      <c r="S52" s="36" t="inlineStr">
        <is>
          <t>Not run</t>
        </is>
      </c>
      <c r="T52" s="25" t="inlineStr">
        <is>
          <t>Developer: Bot: "Armani Hallson KLCC / KL Metro"; sheet: KL Metro. Developer column offset in rows 114-125 (sheet value belongs to another row)</t>
        </is>
      </c>
    </row>
    <row r="53">
      <c r="A53" s="36" t="n">
        <v>49</v>
      </c>
      <c r="B53" s="37" t="inlineStr">
        <is>
          <t>Orion Residence</t>
        </is>
      </c>
      <c r="C53" s="41" t="inlineStr">
        <is>
          <t>Needs ruling</t>
        </is>
      </c>
      <c r="D53" s="24" t="inlineStr">
        <is>
          <t>NO SOURCE</t>
        </is>
      </c>
      <c r="E53" s="36" t="inlineStr">
        <is>
          <t>—</t>
        </is>
      </c>
      <c r="F53" s="24" t="inlineStr">
        <is>
          <t>NO SOURCE</t>
        </is>
      </c>
      <c r="G53" s="24" t="inlineStr">
        <is>
          <t>NO SOURCE</t>
        </is>
      </c>
      <c r="H53" s="22" t="inlineStr">
        <is>
          <t>PASS</t>
        </is>
      </c>
      <c r="I53" s="29" t="inlineStr">
        <is>
          <t>CONFLICT</t>
        </is>
      </c>
      <c r="J53" s="29" t="inlineStr">
        <is>
          <t>CONFLICT</t>
        </is>
      </c>
      <c r="K53" s="24" t="inlineStr">
        <is>
          <t>NO SOURCE</t>
        </is>
      </c>
      <c r="L53" s="22" t="inlineStr">
        <is>
          <t>PASS</t>
        </is>
      </c>
      <c r="M53" s="22" t="inlineStr">
        <is>
          <t>PASS</t>
        </is>
      </c>
      <c r="N53" s="22" t="inlineStr">
        <is>
          <t>PASS</t>
        </is>
      </c>
      <c r="O53" s="22" t="inlineStr">
        <is>
          <t>PASS</t>
        </is>
      </c>
      <c r="P53" s="24" t="inlineStr">
        <is>
          <t>NO SOURCE</t>
        </is>
      </c>
      <c r="Q53" s="24" t="inlineStr">
        <is>
          <t>NO SOURCE</t>
        </is>
      </c>
      <c r="R53" s="24" t="inlineStr">
        <is>
          <t>NO SOURCE</t>
        </is>
      </c>
      <c r="S53" s="36" t="inlineStr">
        <is>
          <t>Not run</t>
        </is>
      </c>
      <c r="T53" s="25" t="inlineStr">
        <is>
          <t>Land Title: Sheet: Residential; bot (KB): Commercial under HDA | Developer: Bot: Orion Tower Sdn Bhd; sheet: Oxley. Developer column offset in rows 114-125 (sheet value belongs to another row)</t>
        </is>
      </c>
    </row>
    <row r="54">
      <c r="A54" s="36" t="n">
        <v>50</v>
      </c>
      <c r="B54" s="37" t="inlineStr">
        <is>
          <t>PSQ Pavilion Square</t>
        </is>
      </c>
      <c r="C54" s="41" t="inlineStr">
        <is>
          <t>Needs ruling</t>
        </is>
      </c>
      <c r="D54" s="24" t="inlineStr">
        <is>
          <t>NO SOURCE</t>
        </is>
      </c>
      <c r="E54" s="24" t="inlineStr">
        <is>
          <t>NO SOURCE</t>
        </is>
      </c>
      <c r="F54" s="24" t="inlineStr">
        <is>
          <t>NO SOURCE</t>
        </is>
      </c>
      <c r="G54" s="24" t="inlineStr">
        <is>
          <t>NO SOURCE</t>
        </is>
      </c>
      <c r="H54" s="22" t="inlineStr">
        <is>
          <t>PASS</t>
        </is>
      </c>
      <c r="I54" s="22" t="inlineStr">
        <is>
          <t>PASS</t>
        </is>
      </c>
      <c r="J54" s="24" t="inlineStr">
        <is>
          <t>NO SOURCE</t>
        </is>
      </c>
      <c r="K54" s="22" t="inlineStr">
        <is>
          <t>PASS</t>
        </is>
      </c>
      <c r="L54" s="22" t="inlineStr">
        <is>
          <t>PASS</t>
        </is>
      </c>
      <c r="M54" s="29" t="inlineStr">
        <is>
          <t>CONFLICT</t>
        </is>
      </c>
      <c r="N54" s="22" t="inlineStr">
        <is>
          <t>PASS</t>
        </is>
      </c>
      <c r="O54" s="24" t="inlineStr">
        <is>
          <t>NO SOURCE</t>
        </is>
      </c>
      <c r="P54" s="36" t="inlineStr">
        <is>
          <t>—</t>
        </is>
      </c>
      <c r="Q54" s="24" t="inlineStr">
        <is>
          <t>NO SOURCE</t>
        </is>
      </c>
      <c r="R54" s="24" t="inlineStr">
        <is>
          <t>NO SOURCE</t>
        </is>
      </c>
      <c r="S54" s="22" t="inlineStr">
        <is>
          <t>Pass</t>
        </is>
      </c>
      <c r="T54" s="25" t="inlineStr">
        <is>
          <t>Total Units: Sheet: 1,158; bot (KB): 960 residences + 106 corporate suites | Developer: matches the sheet, but also gives "Armani Hartajaya Sdn Bhd under Pavilion Group" from its own write-up (the sheet has it in Core Residence @ TRX's row: Developer column offset)</t>
        </is>
      </c>
    </row>
    <row r="55">
      <c r="A55" s="36" t="n">
        <v>51</v>
      </c>
      <c r="B55" s="37" t="inlineStr">
        <is>
          <t>Katana 2 Residence</t>
        </is>
      </c>
      <c r="C55" s="38" t="inlineStr">
        <is>
          <t>Pass</t>
        </is>
      </c>
      <c r="D55" s="24" t="inlineStr">
        <is>
          <t>NO SOURCE</t>
        </is>
      </c>
      <c r="E55" s="36" t="inlineStr">
        <is>
          <t>—</t>
        </is>
      </c>
      <c r="F55" s="24" t="inlineStr">
        <is>
          <t>NO SOURCE</t>
        </is>
      </c>
      <c r="G55" s="24" t="inlineStr">
        <is>
          <t>NO SOURCE</t>
        </is>
      </c>
      <c r="H55" s="24" t="inlineStr">
        <is>
          <t>NO SOURCE</t>
        </is>
      </c>
      <c r="I55" s="22" t="inlineStr">
        <is>
          <t>PASS</t>
        </is>
      </c>
      <c r="J55" s="22" t="inlineStr">
        <is>
          <t>PASS</t>
        </is>
      </c>
      <c r="K55" s="22" t="inlineStr">
        <is>
          <t>PASS</t>
        </is>
      </c>
      <c r="L55" s="24" t="inlineStr">
        <is>
          <t>NO SOURCE</t>
        </is>
      </c>
      <c r="M55" s="22" t="inlineStr">
        <is>
          <t>PASS</t>
        </is>
      </c>
      <c r="N55" s="24" t="inlineStr">
        <is>
          <t>NO SOURCE</t>
        </is>
      </c>
      <c r="O55" s="22" t="inlineStr">
        <is>
          <t>PASS</t>
        </is>
      </c>
      <c r="P55" s="22" t="inlineStr">
        <is>
          <t>PASS</t>
        </is>
      </c>
      <c r="Q55" s="24" t="inlineStr">
        <is>
          <t>NO SOURCE</t>
        </is>
      </c>
      <c r="R55" s="24" t="inlineStr">
        <is>
          <t>NO SOURCE</t>
        </is>
      </c>
      <c r="S55" s="36" t="inlineStr">
        <is>
          <t>Not run</t>
        </is>
      </c>
      <c r="T55" s="25" t="inlineStr">
        <is>
          <t>Developer: matches the sheet, but also gives "BSG Group" from its own write-up (the sheet has it in Dawn KLCC's row: Developer column offset)</t>
        </is>
      </c>
    </row>
    <row r="56">
      <c r="A56" s="36" t="n">
        <v>52</v>
      </c>
      <c r="B56" s="37" t="inlineStr">
        <is>
          <t>The Centrix</t>
        </is>
      </c>
      <c r="C56" s="38" t="inlineStr">
        <is>
          <t>Pass</t>
        </is>
      </c>
      <c r="D56" s="24" t="inlineStr">
        <is>
          <t>NO SOURCE</t>
        </is>
      </c>
      <c r="E56" s="24" t="inlineStr">
        <is>
          <t>NO SOURCE</t>
        </is>
      </c>
      <c r="F56" s="24" t="inlineStr">
        <is>
          <t>NO SOURCE</t>
        </is>
      </c>
      <c r="G56" s="24" t="inlineStr">
        <is>
          <t>NO SOURCE</t>
        </is>
      </c>
      <c r="H56" s="24" t="inlineStr">
        <is>
          <t>NO SOURCE</t>
        </is>
      </c>
      <c r="I56" s="22" t="inlineStr">
        <is>
          <t>PASS</t>
        </is>
      </c>
      <c r="J56" s="22" t="inlineStr">
        <is>
          <t>PASS</t>
        </is>
      </c>
      <c r="K56" s="24" t="inlineStr">
        <is>
          <t>NO SOURCE</t>
        </is>
      </c>
      <c r="L56" s="22" t="inlineStr">
        <is>
          <t>PASS</t>
        </is>
      </c>
      <c r="M56" s="22" t="inlineStr">
        <is>
          <t>PASS</t>
        </is>
      </c>
      <c r="N56" s="22" t="inlineStr">
        <is>
          <t>PASS</t>
        </is>
      </c>
      <c r="O56" s="22" t="inlineStr">
        <is>
          <t>PASS</t>
        </is>
      </c>
      <c r="P56" s="36" t="inlineStr">
        <is>
          <t>—</t>
        </is>
      </c>
      <c r="Q56" s="24" t="inlineStr">
        <is>
          <t>NO SOURCE</t>
        </is>
      </c>
      <c r="R56" s="24" t="inlineStr">
        <is>
          <t>NO SOURCE</t>
        </is>
      </c>
      <c r="S56" s="22" t="inlineStr">
        <is>
          <t>Pass</t>
        </is>
      </c>
      <c r="T56" s="25" t="inlineStr">
        <is>
          <t>Developer: matches the sheet, but also gives "DAC Development / Intan Sekitar Sdn Bhd" from its own write-up (the sheet has it in Eaton Residences by Sutera @ KLCC's row: Developer column offset)</t>
        </is>
      </c>
    </row>
    <row r="57">
      <c r="A57" s="36" t="n">
        <v>53</v>
      </c>
      <c r="B57" s="37" t="inlineStr">
        <is>
          <t>Quill Residences KLCC</t>
        </is>
      </c>
      <c r="C57" s="41" t="inlineStr">
        <is>
          <t>Needs ruling</t>
        </is>
      </c>
      <c r="D57" s="24" t="inlineStr">
        <is>
          <t>NO SOURCE</t>
        </is>
      </c>
      <c r="E57" s="24" t="inlineStr">
        <is>
          <t>NO SOURCE</t>
        </is>
      </c>
      <c r="F57" s="24" t="inlineStr">
        <is>
          <t>NO SOURCE</t>
        </is>
      </c>
      <c r="G57" s="24" t="inlineStr">
        <is>
          <t>NO SOURCE</t>
        </is>
      </c>
      <c r="H57" s="28" t="inlineStr">
        <is>
          <t>DIFFERS</t>
        </is>
      </c>
      <c r="I57" s="29" t="inlineStr">
        <is>
          <t>CONFLICT</t>
        </is>
      </c>
      <c r="J57" s="24" t="inlineStr">
        <is>
          <t>NO SOURCE</t>
        </is>
      </c>
      <c r="K57" s="22" t="inlineStr">
        <is>
          <t>PASS</t>
        </is>
      </c>
      <c r="L57" s="22" t="inlineStr">
        <is>
          <t>PASS</t>
        </is>
      </c>
      <c r="M57" s="24" t="inlineStr">
        <is>
          <t>NO SOURCE</t>
        </is>
      </c>
      <c r="N57" s="36" t="inlineStr">
        <is>
          <t>—</t>
        </is>
      </c>
      <c r="O57" s="22" t="inlineStr">
        <is>
          <t>PASS</t>
        </is>
      </c>
      <c r="P57" s="24" t="inlineStr">
        <is>
          <t>NO SOURCE</t>
        </is>
      </c>
      <c r="Q57" s="24" t="inlineStr">
        <is>
          <t>NO SOURCE</t>
        </is>
      </c>
      <c r="R57" s="24" t="inlineStr">
        <is>
          <t>NO SOURCE</t>
        </is>
      </c>
      <c r="S57" s="22" t="inlineStr">
        <is>
          <t>Pass</t>
        </is>
      </c>
      <c r="T57" s="25" t="inlineStr">
        <is>
          <t>Area: Bot says "Jalan Sultan Ismail, Golden Triangle"; sheet says "KLCC" | Developer: Bot: Andarama (Quill group); sheet: BBCC Development, which looks misplaced</t>
        </is>
      </c>
    </row>
    <row r="58">
      <c r="A58" s="36" t="n">
        <v>54</v>
      </c>
      <c r="B58" s="37" t="inlineStr">
        <is>
          <t>Royal Lexis KL</t>
        </is>
      </c>
      <c r="C58" s="38" t="inlineStr">
        <is>
          <t>Pass</t>
        </is>
      </c>
      <c r="D58" s="24" t="inlineStr">
        <is>
          <t>NO SOURCE</t>
        </is>
      </c>
      <c r="E58" s="24" t="inlineStr">
        <is>
          <t>NO SOURCE</t>
        </is>
      </c>
      <c r="F58" s="24" t="inlineStr">
        <is>
          <t>NO SOURCE</t>
        </is>
      </c>
      <c r="G58" s="24" t="inlineStr">
        <is>
          <t>NO SOURCE</t>
        </is>
      </c>
      <c r="H58" s="22" t="inlineStr">
        <is>
          <t>PASS</t>
        </is>
      </c>
      <c r="I58" s="22" t="inlineStr">
        <is>
          <t>PASS</t>
        </is>
      </c>
      <c r="J58" s="22" t="inlineStr">
        <is>
          <t>PASS</t>
        </is>
      </c>
      <c r="K58" s="22" t="inlineStr">
        <is>
          <t>PASS</t>
        </is>
      </c>
      <c r="L58" s="22" t="inlineStr">
        <is>
          <t>PASS</t>
        </is>
      </c>
      <c r="M58" s="22" t="inlineStr">
        <is>
          <t>PASS</t>
        </is>
      </c>
      <c r="N58" s="24" t="inlineStr">
        <is>
          <t>NO SOURCE</t>
        </is>
      </c>
      <c r="O58" s="22" t="inlineStr">
        <is>
          <t>PASS</t>
        </is>
      </c>
      <c r="P58" s="24" t="inlineStr">
        <is>
          <t>NO SOURCE</t>
        </is>
      </c>
      <c r="Q58" s="24" t="inlineStr">
        <is>
          <t>NO SOURCE</t>
        </is>
      </c>
      <c r="R58" s="24" t="inlineStr">
        <is>
          <t>NO SOURCE</t>
        </is>
      </c>
      <c r="S58" s="22" t="inlineStr">
        <is>
          <t>Pass</t>
        </is>
      </c>
      <c r="T58" s="25" t="inlineStr"/>
    </row>
    <row r="59">
      <c r="A59" s="36" t="n">
        <v>55</v>
      </c>
      <c r="B59" s="37" t="inlineStr">
        <is>
          <t>SO Sofitel Residences KLCC</t>
        </is>
      </c>
      <c r="C59" s="38" t="inlineStr">
        <is>
          <t>Pass</t>
        </is>
      </c>
      <c r="D59" s="22" t="inlineStr">
        <is>
          <t>PASS</t>
        </is>
      </c>
      <c r="E59" s="22" t="inlineStr">
        <is>
          <t>PASS</t>
        </is>
      </c>
      <c r="F59" s="22" t="inlineStr">
        <is>
          <t>PASS</t>
        </is>
      </c>
      <c r="G59" s="22" t="inlineStr">
        <is>
          <t>PASS</t>
        </is>
      </c>
      <c r="H59" s="22" t="inlineStr">
        <is>
          <t>PASS</t>
        </is>
      </c>
      <c r="I59" s="22" t="inlineStr">
        <is>
          <t>PASS</t>
        </is>
      </c>
      <c r="J59" s="36" t="inlineStr">
        <is>
          <t>—</t>
        </is>
      </c>
      <c r="K59" s="24" t="inlineStr">
        <is>
          <t>NO SOURCE</t>
        </is>
      </c>
      <c r="L59" s="22" t="inlineStr">
        <is>
          <t>PASS</t>
        </is>
      </c>
      <c r="M59" s="22" t="inlineStr">
        <is>
          <t>PASS</t>
        </is>
      </c>
      <c r="N59" s="36" t="inlineStr">
        <is>
          <t>—</t>
        </is>
      </c>
      <c r="O59" s="22" t="inlineStr">
        <is>
          <t>PASS</t>
        </is>
      </c>
      <c r="P59" s="24" t="inlineStr">
        <is>
          <t>NO SOURCE</t>
        </is>
      </c>
      <c r="Q59" s="24" t="inlineStr">
        <is>
          <t>NO SOURCE</t>
        </is>
      </c>
      <c r="R59" s="36" t="inlineStr">
        <is>
          <t>—</t>
        </is>
      </c>
      <c r="S59" s="23" t="inlineStr">
        <is>
          <t>Partial</t>
        </is>
      </c>
      <c r="T59" s="25" t="inlineStr"/>
    </row>
    <row r="60">
      <c r="A60" s="36" t="n">
        <v>56</v>
      </c>
      <c r="B60" s="37" t="inlineStr">
        <is>
          <t>Le Nouvel KLCC</t>
        </is>
      </c>
      <c r="C60" s="38" t="inlineStr">
        <is>
          <t>Pass</t>
        </is>
      </c>
      <c r="D60" s="24" t="inlineStr">
        <is>
          <t>NO SOURCE</t>
        </is>
      </c>
      <c r="E60" s="24" t="inlineStr">
        <is>
          <t>NO SOURCE</t>
        </is>
      </c>
      <c r="F60" s="24" t="inlineStr">
        <is>
          <t>NO SOURCE</t>
        </is>
      </c>
      <c r="G60" s="24" t="inlineStr">
        <is>
          <t>NO SOURCE</t>
        </is>
      </c>
      <c r="H60" s="22" t="inlineStr">
        <is>
          <t>PASS</t>
        </is>
      </c>
      <c r="I60" s="24" t="inlineStr">
        <is>
          <t>NO SOURCE</t>
        </is>
      </c>
      <c r="J60" s="22" t="inlineStr">
        <is>
          <t>PASS</t>
        </is>
      </c>
      <c r="K60" s="24" t="inlineStr">
        <is>
          <t>NO SOURCE</t>
        </is>
      </c>
      <c r="L60" s="22" t="inlineStr">
        <is>
          <t>PASS</t>
        </is>
      </c>
      <c r="M60" s="22" t="inlineStr">
        <is>
          <t>PASS</t>
        </is>
      </c>
      <c r="N60" s="24" t="inlineStr">
        <is>
          <t>NO SOURCE</t>
        </is>
      </c>
      <c r="O60" s="22" t="inlineStr">
        <is>
          <t>PASS</t>
        </is>
      </c>
      <c r="P60" s="36" t="inlineStr">
        <is>
          <t>—</t>
        </is>
      </c>
      <c r="Q60" s="24" t="inlineStr">
        <is>
          <t>NO SOURCE</t>
        </is>
      </c>
      <c r="R60" s="24" t="inlineStr">
        <is>
          <t>NO SOURCE</t>
        </is>
      </c>
      <c r="S60" s="36" t="inlineStr">
        <is>
          <t>Not run</t>
        </is>
      </c>
      <c r="T60" s="25" t="inlineStr"/>
    </row>
    <row r="61">
      <c r="A61" s="36" t="n">
        <v>57</v>
      </c>
      <c r="B61" s="37" t="inlineStr">
        <is>
          <t>Star Residences KLCC</t>
        </is>
      </c>
      <c r="C61" s="38" t="inlineStr">
        <is>
          <t>Pass</t>
        </is>
      </c>
      <c r="D61" s="24" t="inlineStr">
        <is>
          <t>NO SOURCE</t>
        </is>
      </c>
      <c r="E61" s="36" t="inlineStr">
        <is>
          <t>—</t>
        </is>
      </c>
      <c r="F61" s="24" t="inlineStr">
        <is>
          <t>NO SOURCE</t>
        </is>
      </c>
      <c r="G61" s="24" t="inlineStr">
        <is>
          <t>NO SOURCE</t>
        </is>
      </c>
      <c r="H61" s="22" t="inlineStr">
        <is>
          <t>PASS</t>
        </is>
      </c>
      <c r="I61" s="24" t="inlineStr">
        <is>
          <t>NO SOURCE</t>
        </is>
      </c>
      <c r="J61" s="24" t="inlineStr">
        <is>
          <t>NO SOURCE</t>
        </is>
      </c>
      <c r="K61" s="22" t="inlineStr">
        <is>
          <t>PASS</t>
        </is>
      </c>
      <c r="L61" s="22" t="inlineStr">
        <is>
          <t>PASS</t>
        </is>
      </c>
      <c r="M61" s="24" t="inlineStr">
        <is>
          <t>NO SOURCE</t>
        </is>
      </c>
      <c r="N61" s="24" t="inlineStr">
        <is>
          <t>NO SOURCE</t>
        </is>
      </c>
      <c r="O61" s="22" t="inlineStr">
        <is>
          <t>PASS</t>
        </is>
      </c>
      <c r="P61" s="36" t="inlineStr">
        <is>
          <t>—</t>
        </is>
      </c>
      <c r="Q61" s="24" t="inlineStr">
        <is>
          <t>NO SOURCE</t>
        </is>
      </c>
      <c r="R61" s="24" t="inlineStr">
        <is>
          <t>NO SOURCE</t>
        </is>
      </c>
      <c r="S61" s="22" t="inlineStr">
        <is>
          <t>Pass</t>
        </is>
      </c>
      <c r="T61" s="25" t="inlineStr"/>
    </row>
    <row r="62">
      <c r="A62" s="36" t="n">
        <v>58</v>
      </c>
      <c r="B62" s="37" t="inlineStr">
        <is>
          <t>Jewel by Oxley KLCC</t>
        </is>
      </c>
      <c r="C62" s="38" t="inlineStr">
        <is>
          <t>Pass</t>
        </is>
      </c>
      <c r="D62" s="22" t="inlineStr">
        <is>
          <t>PASS</t>
        </is>
      </c>
      <c r="E62" s="22" t="inlineStr">
        <is>
          <t>PASS</t>
        </is>
      </c>
      <c r="F62" s="22" t="inlineStr">
        <is>
          <t>PASS</t>
        </is>
      </c>
      <c r="G62" s="22" t="inlineStr">
        <is>
          <t>PASS</t>
        </is>
      </c>
      <c r="H62" s="22" t="inlineStr">
        <is>
          <t>PASS</t>
        </is>
      </c>
      <c r="I62" s="36" t="inlineStr">
        <is>
          <t>—</t>
        </is>
      </c>
      <c r="J62" s="36" t="inlineStr">
        <is>
          <t>—</t>
        </is>
      </c>
      <c r="K62" s="22" t="inlineStr">
        <is>
          <t>PASS</t>
        </is>
      </c>
      <c r="L62" s="22" t="inlineStr">
        <is>
          <t>PASS</t>
        </is>
      </c>
      <c r="M62" s="24" t="inlineStr">
        <is>
          <t>NO SOURCE</t>
        </is>
      </c>
      <c r="N62" s="22" t="inlineStr">
        <is>
          <t>PASS</t>
        </is>
      </c>
      <c r="O62" s="36" t="inlineStr">
        <is>
          <t>—</t>
        </is>
      </c>
      <c r="P62" s="24" t="inlineStr">
        <is>
          <t>NO SOURCE</t>
        </is>
      </c>
      <c r="Q62" s="24" t="inlineStr">
        <is>
          <t>NO SOURCE</t>
        </is>
      </c>
      <c r="R62" s="36" t="inlineStr">
        <is>
          <t>—</t>
        </is>
      </c>
      <c r="S62" s="36" t="inlineStr">
        <is>
          <t>Not run</t>
        </is>
      </c>
      <c r="T62" s="25" t="inlineStr"/>
    </row>
    <row r="63">
      <c r="A63" s="36" t="n">
        <v>59</v>
      </c>
      <c r="B63" s="37" t="inlineStr">
        <is>
          <t>Golden Crown Residence</t>
        </is>
      </c>
      <c r="C63" s="38" t="inlineStr">
        <is>
          <t>Pass</t>
        </is>
      </c>
      <c r="D63" s="24" t="inlineStr">
        <is>
          <t>NO SOURCE</t>
        </is>
      </c>
      <c r="E63" s="24" t="inlineStr">
        <is>
          <t>NO SOURCE</t>
        </is>
      </c>
      <c r="F63" s="24" t="inlineStr">
        <is>
          <t>NO SOURCE</t>
        </is>
      </c>
      <c r="G63" s="24" t="inlineStr">
        <is>
          <t>NO SOURCE</t>
        </is>
      </c>
      <c r="H63" s="22" t="inlineStr">
        <is>
          <t>PASS</t>
        </is>
      </c>
      <c r="I63" s="22" t="inlineStr">
        <is>
          <t>PASS</t>
        </is>
      </c>
      <c r="J63" s="22" t="inlineStr">
        <is>
          <t>PASS</t>
        </is>
      </c>
      <c r="K63" s="24" t="inlineStr">
        <is>
          <t>NO SOURCE</t>
        </is>
      </c>
      <c r="L63" s="22" t="inlineStr">
        <is>
          <t>PASS</t>
        </is>
      </c>
      <c r="M63" s="22" t="inlineStr">
        <is>
          <t>PASS</t>
        </is>
      </c>
      <c r="N63" s="22" t="inlineStr">
        <is>
          <t>PASS</t>
        </is>
      </c>
      <c r="O63" s="22" t="inlineStr">
        <is>
          <t>PASS</t>
        </is>
      </c>
      <c r="P63" s="36" t="inlineStr">
        <is>
          <t>—</t>
        </is>
      </c>
      <c r="Q63" s="24" t="inlineStr">
        <is>
          <t>NO SOURCE</t>
        </is>
      </c>
      <c r="R63" s="24" t="inlineStr">
        <is>
          <t>NO SOURCE</t>
        </is>
      </c>
      <c r="S63" s="36" t="inlineStr">
        <is>
          <t>Not run</t>
        </is>
      </c>
      <c r="T63" s="25" t="inlineStr"/>
    </row>
    <row r="64">
      <c r="A64" s="36" t="n">
        <v>60</v>
      </c>
      <c r="B64" s="37" t="inlineStr">
        <is>
          <t>SWNK Houze @ BBCC (Bukit Bintang City Centre)</t>
        </is>
      </c>
      <c r="C64" s="38" t="inlineStr">
        <is>
          <t>Pass</t>
        </is>
      </c>
      <c r="D64" s="24" t="inlineStr">
        <is>
          <t>NO SOURCE</t>
        </is>
      </c>
      <c r="E64" s="24" t="inlineStr">
        <is>
          <t>NO SOURCE</t>
        </is>
      </c>
      <c r="F64" s="24" t="inlineStr">
        <is>
          <t>NO SOURCE</t>
        </is>
      </c>
      <c r="G64" s="24" t="inlineStr">
        <is>
          <t>NO SOURCE</t>
        </is>
      </c>
      <c r="H64" s="22" t="inlineStr">
        <is>
          <t>PASS</t>
        </is>
      </c>
      <c r="I64" s="22" t="inlineStr">
        <is>
          <t>PASS</t>
        </is>
      </c>
      <c r="J64" s="22" t="inlineStr">
        <is>
          <t>PASS</t>
        </is>
      </c>
      <c r="K64" s="24" t="inlineStr">
        <is>
          <t>NO SOURCE</t>
        </is>
      </c>
      <c r="L64" s="24" t="inlineStr">
        <is>
          <t>NO SOURCE</t>
        </is>
      </c>
      <c r="M64" s="22" t="inlineStr">
        <is>
          <t>PASS</t>
        </is>
      </c>
      <c r="N64" s="22" t="inlineStr">
        <is>
          <t>PASS</t>
        </is>
      </c>
      <c r="O64" s="22" t="inlineStr">
        <is>
          <t>PASS</t>
        </is>
      </c>
      <c r="P64" s="24" t="inlineStr">
        <is>
          <t>NO SOURCE</t>
        </is>
      </c>
      <c r="Q64" s="24" t="inlineStr">
        <is>
          <t>NO SOURCE</t>
        </is>
      </c>
      <c r="R64" s="36" t="inlineStr">
        <is>
          <t>—</t>
        </is>
      </c>
      <c r="S64" s="36" t="inlineStr">
        <is>
          <t>Not run</t>
        </is>
      </c>
      <c r="T64" s="25" t="inlineStr"/>
    </row>
    <row r="65">
      <c r="A65" s="36" t="n">
        <v>61</v>
      </c>
      <c r="B65" s="37" t="inlineStr">
        <is>
          <t>Times Square 2 Residences Kuala Lumpur</t>
        </is>
      </c>
      <c r="C65" s="38" t="inlineStr">
        <is>
          <t>Pass</t>
        </is>
      </c>
      <c r="D65" s="24" t="inlineStr">
        <is>
          <t>NO SOURCE</t>
        </is>
      </c>
      <c r="E65" s="24" t="inlineStr">
        <is>
          <t>NO SOURCE</t>
        </is>
      </c>
      <c r="F65" s="24" t="inlineStr">
        <is>
          <t>NO SOURCE</t>
        </is>
      </c>
      <c r="G65" s="24" t="inlineStr">
        <is>
          <t>NO SOURCE</t>
        </is>
      </c>
      <c r="H65" s="22" t="inlineStr">
        <is>
          <t>PASS</t>
        </is>
      </c>
      <c r="I65" s="24" t="inlineStr">
        <is>
          <t>NO SOURCE</t>
        </is>
      </c>
      <c r="J65" s="24" t="inlineStr">
        <is>
          <t>NO SOURCE</t>
        </is>
      </c>
      <c r="K65" s="24" t="inlineStr">
        <is>
          <t>NO SOURCE</t>
        </is>
      </c>
      <c r="L65" s="24" t="inlineStr">
        <is>
          <t>NO SOURCE</t>
        </is>
      </c>
      <c r="M65" s="24" t="inlineStr">
        <is>
          <t>NO SOURCE</t>
        </is>
      </c>
      <c r="N65" s="24" t="inlineStr">
        <is>
          <t>NO SOURCE</t>
        </is>
      </c>
      <c r="O65" s="24" t="inlineStr">
        <is>
          <t>NO SOURCE</t>
        </is>
      </c>
      <c r="P65" s="24" t="inlineStr">
        <is>
          <t>NO SOURCE</t>
        </is>
      </c>
      <c r="Q65" s="24" t="inlineStr">
        <is>
          <t>NO SOURCE</t>
        </is>
      </c>
      <c r="R65" s="24" t="inlineStr">
        <is>
          <t>NO SOURCE</t>
        </is>
      </c>
      <c r="S65" s="22" t="inlineStr">
        <is>
          <t>Pass</t>
        </is>
      </c>
      <c r="T65" s="25" t="inlineStr"/>
    </row>
    <row r="66">
      <c r="A66" s="36" t="n">
        <v>62</v>
      </c>
      <c r="B66" s="37" t="inlineStr">
        <is>
          <t>The Manor KLCC</t>
        </is>
      </c>
      <c r="C66" s="38" t="inlineStr">
        <is>
          <t>Pass</t>
        </is>
      </c>
      <c r="D66" s="24" t="inlineStr">
        <is>
          <t>NO SOURCE</t>
        </is>
      </c>
      <c r="E66" s="36" t="inlineStr">
        <is>
          <t>—</t>
        </is>
      </c>
      <c r="F66" s="24" t="inlineStr">
        <is>
          <t>NO SOURCE</t>
        </is>
      </c>
      <c r="G66" s="24" t="inlineStr">
        <is>
          <t>NO SOURCE</t>
        </is>
      </c>
      <c r="H66" s="22" t="inlineStr">
        <is>
          <t>PASS</t>
        </is>
      </c>
      <c r="I66" s="22" t="inlineStr">
        <is>
          <t>PASS</t>
        </is>
      </c>
      <c r="J66" s="36" t="inlineStr">
        <is>
          <t>—</t>
        </is>
      </c>
      <c r="K66" s="24" t="inlineStr">
        <is>
          <t>NO SOURCE</t>
        </is>
      </c>
      <c r="L66" s="22" t="inlineStr">
        <is>
          <t>PASS</t>
        </is>
      </c>
      <c r="M66" s="22" t="inlineStr">
        <is>
          <t>PASS</t>
        </is>
      </c>
      <c r="N66" s="22" t="inlineStr">
        <is>
          <t>PASS</t>
        </is>
      </c>
      <c r="O66" s="36" t="inlineStr">
        <is>
          <t>—</t>
        </is>
      </c>
      <c r="P66" s="36" t="inlineStr">
        <is>
          <t>—</t>
        </is>
      </c>
      <c r="Q66" s="36" t="inlineStr">
        <is>
          <t>—</t>
        </is>
      </c>
      <c r="R66" s="36" t="inlineStr">
        <is>
          <t>—</t>
        </is>
      </c>
      <c r="S66" s="22" t="inlineStr">
        <is>
          <t>Pass</t>
        </is>
      </c>
      <c r="T66" s="25" t="inlineStr"/>
    </row>
    <row r="67">
      <c r="A67" s="36" t="n">
        <v>63</v>
      </c>
      <c r="B67" s="37" t="inlineStr">
        <is>
          <t>TRX Residences</t>
        </is>
      </c>
      <c r="C67" s="38" t="inlineStr">
        <is>
          <t>Pass</t>
        </is>
      </c>
      <c r="D67" s="24" t="inlineStr">
        <is>
          <t>NO SOURCE</t>
        </is>
      </c>
      <c r="E67" s="24" t="inlineStr">
        <is>
          <t>NO SOURCE</t>
        </is>
      </c>
      <c r="F67" s="24" t="inlineStr">
        <is>
          <t>NO SOURCE</t>
        </is>
      </c>
      <c r="G67" s="24" t="inlineStr">
        <is>
          <t>NO SOURCE</t>
        </is>
      </c>
      <c r="H67" s="22" t="inlineStr">
        <is>
          <t>PASS</t>
        </is>
      </c>
      <c r="I67" s="24" t="inlineStr">
        <is>
          <t>NO SOURCE</t>
        </is>
      </c>
      <c r="J67" s="24" t="inlineStr">
        <is>
          <t>NO SOURCE</t>
        </is>
      </c>
      <c r="K67" s="24" t="inlineStr">
        <is>
          <t>NO SOURCE</t>
        </is>
      </c>
      <c r="L67" s="22" t="inlineStr">
        <is>
          <t>PASS</t>
        </is>
      </c>
      <c r="M67" s="22" t="inlineStr">
        <is>
          <t>PASS</t>
        </is>
      </c>
      <c r="N67" s="24" t="inlineStr">
        <is>
          <t>NO SOURCE</t>
        </is>
      </c>
      <c r="O67" s="22" t="inlineStr">
        <is>
          <t>PASS</t>
        </is>
      </c>
      <c r="P67" s="24" t="inlineStr">
        <is>
          <t>NO SOURCE</t>
        </is>
      </c>
      <c r="Q67" s="24" t="inlineStr">
        <is>
          <t>NO SOURCE</t>
        </is>
      </c>
      <c r="R67" s="24" t="inlineStr">
        <is>
          <t>NO SOURCE</t>
        </is>
      </c>
      <c r="S67" s="22" t="inlineStr">
        <is>
          <t>Pass</t>
        </is>
      </c>
      <c r="T67" s="25" t="inlineStr"/>
    </row>
    <row r="68">
      <c r="A68" s="36" t="n">
        <v>64</v>
      </c>
      <c r="B68" s="37" t="inlineStr">
        <is>
          <t>The Oval Kuala Lumpur</t>
        </is>
      </c>
      <c r="C68" s="38" t="inlineStr">
        <is>
          <t>Pass</t>
        </is>
      </c>
      <c r="D68" s="24" t="inlineStr">
        <is>
          <t>NO SOURCE</t>
        </is>
      </c>
      <c r="E68" s="36" t="inlineStr">
        <is>
          <t>—</t>
        </is>
      </c>
      <c r="F68" s="24" t="inlineStr">
        <is>
          <t>NO SOURCE</t>
        </is>
      </c>
      <c r="G68" s="24" t="inlineStr">
        <is>
          <t>NO SOURCE</t>
        </is>
      </c>
      <c r="H68" s="22" t="inlineStr">
        <is>
          <t>PASS</t>
        </is>
      </c>
      <c r="I68" s="22" t="inlineStr">
        <is>
          <t>PASS</t>
        </is>
      </c>
      <c r="J68" s="22" t="inlineStr">
        <is>
          <t>PASS</t>
        </is>
      </c>
      <c r="K68" s="24" t="inlineStr">
        <is>
          <t>NO SOURCE</t>
        </is>
      </c>
      <c r="L68" s="22" t="inlineStr">
        <is>
          <t>PASS</t>
        </is>
      </c>
      <c r="M68" s="24" t="inlineStr">
        <is>
          <t>NO SOURCE</t>
        </is>
      </c>
      <c r="N68" s="22" t="inlineStr">
        <is>
          <t>PASS</t>
        </is>
      </c>
      <c r="O68" s="24" t="inlineStr">
        <is>
          <t>NO SOURCE</t>
        </is>
      </c>
      <c r="P68" s="24" t="inlineStr">
        <is>
          <t>NO SOURCE</t>
        </is>
      </c>
      <c r="Q68" s="36" t="inlineStr">
        <is>
          <t>—</t>
        </is>
      </c>
      <c r="R68" s="24" t="inlineStr">
        <is>
          <t>NO SOURCE</t>
        </is>
      </c>
      <c r="S68" s="36" t="inlineStr">
        <is>
          <t>Not run</t>
        </is>
      </c>
      <c r="T68" s="25" t="inlineStr"/>
    </row>
    <row r="69">
      <c r="A69" s="36" t="n">
        <v>65</v>
      </c>
      <c r="B69" s="37" t="inlineStr">
        <is>
          <t>The Ritz- Carlton Residences</t>
        </is>
      </c>
      <c r="C69" s="38" t="inlineStr">
        <is>
          <t>Pass</t>
        </is>
      </c>
      <c r="D69" s="24" t="inlineStr">
        <is>
          <t>NO SOURCE</t>
        </is>
      </c>
      <c r="E69" s="36" t="inlineStr">
        <is>
          <t>—</t>
        </is>
      </c>
      <c r="F69" s="24" t="inlineStr">
        <is>
          <t>NO SOURCE</t>
        </is>
      </c>
      <c r="G69" s="24" t="inlineStr">
        <is>
          <t>NO SOURCE</t>
        </is>
      </c>
      <c r="H69" s="22" t="inlineStr">
        <is>
          <t>PASS</t>
        </is>
      </c>
      <c r="I69" s="36" t="inlineStr">
        <is>
          <t>—</t>
        </is>
      </c>
      <c r="J69" s="36" t="inlineStr">
        <is>
          <t>—</t>
        </is>
      </c>
      <c r="K69" s="24" t="inlineStr">
        <is>
          <t>NO SOURCE</t>
        </is>
      </c>
      <c r="L69" s="22" t="inlineStr">
        <is>
          <t>PASS</t>
        </is>
      </c>
      <c r="M69" s="22" t="inlineStr">
        <is>
          <t>PASS</t>
        </is>
      </c>
      <c r="N69" s="36" t="inlineStr">
        <is>
          <t>—</t>
        </is>
      </c>
      <c r="O69" s="22" t="inlineStr">
        <is>
          <t>PASS</t>
        </is>
      </c>
      <c r="P69" s="24" t="inlineStr">
        <is>
          <t>NO SOURCE</t>
        </is>
      </c>
      <c r="Q69" s="24" t="inlineStr">
        <is>
          <t>NO SOURCE</t>
        </is>
      </c>
      <c r="R69" s="36" t="inlineStr">
        <is>
          <t>—</t>
        </is>
      </c>
      <c r="S69" s="36" t="inlineStr">
        <is>
          <t>Not run</t>
        </is>
      </c>
      <c r="T69" s="25" t="inlineStr"/>
    </row>
    <row r="70">
      <c r="A70" s="36" t="n">
        <v>66</v>
      </c>
      <c r="B70" s="37" t="inlineStr">
        <is>
          <t>The Stride Office @ BBCC</t>
        </is>
      </c>
      <c r="C70" s="38" t="inlineStr">
        <is>
          <t>Pass</t>
        </is>
      </c>
      <c r="D70" s="24" t="inlineStr">
        <is>
          <t>NO SOURCE</t>
        </is>
      </c>
      <c r="E70" s="36" t="inlineStr">
        <is>
          <t>—</t>
        </is>
      </c>
      <c r="F70" s="36" t="inlineStr">
        <is>
          <t>—</t>
        </is>
      </c>
      <c r="G70" s="36" t="inlineStr">
        <is>
          <t>—</t>
        </is>
      </c>
      <c r="H70" s="22" t="inlineStr">
        <is>
          <t>PASS</t>
        </is>
      </c>
      <c r="I70" s="22" t="inlineStr">
        <is>
          <t>PASS</t>
        </is>
      </c>
      <c r="J70" s="22" t="inlineStr">
        <is>
          <t>PASS</t>
        </is>
      </c>
      <c r="K70" s="36" t="inlineStr">
        <is>
          <t>—</t>
        </is>
      </c>
      <c r="L70" s="24" t="inlineStr">
        <is>
          <t>NO SOURCE</t>
        </is>
      </c>
      <c r="M70" s="22" t="inlineStr">
        <is>
          <t>PASS</t>
        </is>
      </c>
      <c r="N70" s="22" t="inlineStr">
        <is>
          <t>PASS</t>
        </is>
      </c>
      <c r="O70" s="36" t="inlineStr">
        <is>
          <t>—</t>
        </is>
      </c>
      <c r="P70" s="24" t="inlineStr">
        <is>
          <t>NO SOURCE</t>
        </is>
      </c>
      <c r="Q70" s="36" t="inlineStr">
        <is>
          <t>—</t>
        </is>
      </c>
      <c r="R70" s="36" t="inlineStr">
        <is>
          <t>—</t>
        </is>
      </c>
      <c r="S70" s="36" t="inlineStr">
        <is>
          <t>Not run</t>
        </is>
      </c>
      <c r="T70" s="25" t="inlineStr"/>
    </row>
    <row r="71">
      <c r="A71" s="36" t="n">
        <v>67</v>
      </c>
      <c r="B71" s="37" t="inlineStr">
        <is>
          <t>Rimbun Saujana Residency</t>
        </is>
      </c>
      <c r="C71" s="38" t="inlineStr">
        <is>
          <t>Pass</t>
        </is>
      </c>
      <c r="D71" s="24" t="inlineStr">
        <is>
          <t>NO SOURCE</t>
        </is>
      </c>
      <c r="E71" s="36" t="inlineStr">
        <is>
          <t>—</t>
        </is>
      </c>
      <c r="F71" s="24" t="inlineStr">
        <is>
          <t>NO SOURCE</t>
        </is>
      </c>
      <c r="G71" s="24" t="inlineStr">
        <is>
          <t>NO SOURCE</t>
        </is>
      </c>
      <c r="H71" s="22" t="inlineStr">
        <is>
          <t>PASS</t>
        </is>
      </c>
      <c r="I71" s="22" t="inlineStr">
        <is>
          <t>PASS</t>
        </is>
      </c>
      <c r="J71" s="22" t="inlineStr">
        <is>
          <t>PASS</t>
        </is>
      </c>
      <c r="K71" s="22" t="inlineStr">
        <is>
          <t>PASS</t>
        </is>
      </c>
      <c r="L71" s="22" t="inlineStr">
        <is>
          <t>PASS</t>
        </is>
      </c>
      <c r="M71" s="24" t="inlineStr">
        <is>
          <t>NO SOURCE</t>
        </is>
      </c>
      <c r="N71" s="24" t="inlineStr">
        <is>
          <t>NO SOURCE</t>
        </is>
      </c>
      <c r="O71" s="22" t="inlineStr">
        <is>
          <t>PASS</t>
        </is>
      </c>
      <c r="P71" s="24" t="inlineStr">
        <is>
          <t>NO SOURCE</t>
        </is>
      </c>
      <c r="Q71" s="24" t="inlineStr">
        <is>
          <t>NO SOURCE</t>
        </is>
      </c>
      <c r="R71" s="36" t="inlineStr">
        <is>
          <t>—</t>
        </is>
      </c>
      <c r="S71" s="22" t="inlineStr">
        <is>
          <t>Pass</t>
        </is>
      </c>
      <c r="T71" s="25" t="inlineStr"/>
    </row>
    <row r="72">
      <c r="A72" s="36" t="n">
        <v>68</v>
      </c>
      <c r="B72" s="37" t="inlineStr">
        <is>
          <t>Luminar Residence Subang by BRDB</t>
        </is>
      </c>
      <c r="C72" s="38" t="inlineStr">
        <is>
          <t>Pass</t>
        </is>
      </c>
      <c r="D72" s="22" t="inlineStr">
        <is>
          <t>PASS</t>
        </is>
      </c>
      <c r="E72" s="22" t="inlineStr">
        <is>
          <t>PASS</t>
        </is>
      </c>
      <c r="F72" s="22" t="inlineStr">
        <is>
          <t>PASS</t>
        </is>
      </c>
      <c r="G72" s="22" t="inlineStr">
        <is>
          <t>PASS</t>
        </is>
      </c>
      <c r="H72" s="22" t="inlineStr">
        <is>
          <t>PASS</t>
        </is>
      </c>
      <c r="I72" s="22" t="inlineStr">
        <is>
          <t>PASS</t>
        </is>
      </c>
      <c r="J72" s="22" t="inlineStr">
        <is>
          <t>PASS</t>
        </is>
      </c>
      <c r="K72" s="22" t="inlineStr">
        <is>
          <t>PASS</t>
        </is>
      </c>
      <c r="L72" s="22" t="inlineStr">
        <is>
          <t>PASS</t>
        </is>
      </c>
      <c r="M72" s="22" t="inlineStr">
        <is>
          <t>PASS</t>
        </is>
      </c>
      <c r="N72" s="24" t="inlineStr">
        <is>
          <t>NO SOURCE</t>
        </is>
      </c>
      <c r="O72" s="22" t="inlineStr">
        <is>
          <t>PASS</t>
        </is>
      </c>
      <c r="P72" s="24" t="inlineStr">
        <is>
          <t>NO SOURCE</t>
        </is>
      </c>
      <c r="Q72" s="24" t="inlineStr">
        <is>
          <t>NO SOURCE</t>
        </is>
      </c>
      <c r="R72" s="24" t="inlineStr">
        <is>
          <t>NO SOURCE</t>
        </is>
      </c>
      <c r="S72" s="22" t="inlineStr">
        <is>
          <t>Pass</t>
        </is>
      </c>
      <c r="T72" s="25" t="inlineStr"/>
    </row>
    <row r="73">
      <c r="A73" s="36" t="n">
        <v>69</v>
      </c>
      <c r="B73" s="37" t="inlineStr">
        <is>
          <t>Accent PJ</t>
        </is>
      </c>
      <c r="C73" s="38" t="inlineStr">
        <is>
          <t>Pass</t>
        </is>
      </c>
      <c r="D73" s="24" t="inlineStr">
        <is>
          <t>NO SOURCE</t>
        </is>
      </c>
      <c r="E73" s="36" t="inlineStr">
        <is>
          <t>—</t>
        </is>
      </c>
      <c r="F73" s="24" t="inlineStr">
        <is>
          <t>NO SOURCE</t>
        </is>
      </c>
      <c r="G73" s="24" t="inlineStr">
        <is>
          <t>NO SOURCE</t>
        </is>
      </c>
      <c r="H73" s="22" t="inlineStr">
        <is>
          <t>PASS</t>
        </is>
      </c>
      <c r="I73" s="22" t="inlineStr">
        <is>
          <t>PASS</t>
        </is>
      </c>
      <c r="J73" s="22" t="inlineStr">
        <is>
          <t>PASS</t>
        </is>
      </c>
      <c r="K73" s="22" t="inlineStr">
        <is>
          <t>PASS</t>
        </is>
      </c>
      <c r="L73" s="22" t="inlineStr">
        <is>
          <t>PASS</t>
        </is>
      </c>
      <c r="M73" s="24" t="inlineStr">
        <is>
          <t>NO SOURCE</t>
        </is>
      </c>
      <c r="N73" s="24" t="inlineStr">
        <is>
          <t>NO SOURCE</t>
        </is>
      </c>
      <c r="O73" s="22" t="inlineStr">
        <is>
          <t>PASS</t>
        </is>
      </c>
      <c r="P73" s="36" t="inlineStr">
        <is>
          <t>—</t>
        </is>
      </c>
      <c r="Q73" s="24" t="inlineStr">
        <is>
          <t>NO SOURCE</t>
        </is>
      </c>
      <c r="R73" s="24" t="inlineStr">
        <is>
          <t>NO SOURCE</t>
        </is>
      </c>
      <c r="S73" s="22" t="inlineStr">
        <is>
          <t>Pass</t>
        </is>
      </c>
      <c r="T73" s="25" t="inlineStr"/>
    </row>
    <row r="74">
      <c r="A74" s="36" t="n">
        <v>70</v>
      </c>
      <c r="B74" s="37" t="inlineStr">
        <is>
          <t>26 Araville PJ</t>
        </is>
      </c>
      <c r="C74" s="38" t="inlineStr">
        <is>
          <t>Pass</t>
        </is>
      </c>
      <c r="D74" s="24" t="inlineStr">
        <is>
          <t>NO SOURCE</t>
        </is>
      </c>
      <c r="E74" s="36" t="inlineStr">
        <is>
          <t>—</t>
        </is>
      </c>
      <c r="F74" s="24" t="inlineStr">
        <is>
          <t>NO SOURCE</t>
        </is>
      </c>
      <c r="G74" s="24" t="inlineStr">
        <is>
          <t>NO SOURCE</t>
        </is>
      </c>
      <c r="H74" s="22" t="inlineStr">
        <is>
          <t>PASS</t>
        </is>
      </c>
      <c r="I74" s="22" t="inlineStr">
        <is>
          <t>PASS</t>
        </is>
      </c>
      <c r="J74" s="22" t="inlineStr">
        <is>
          <t>PASS</t>
        </is>
      </c>
      <c r="K74" s="22" t="inlineStr">
        <is>
          <t>PASS</t>
        </is>
      </c>
      <c r="L74" s="22" t="inlineStr">
        <is>
          <t>PASS</t>
        </is>
      </c>
      <c r="M74" s="22" t="inlineStr">
        <is>
          <t>PASS</t>
        </is>
      </c>
      <c r="N74" s="24" t="inlineStr">
        <is>
          <t>NO SOURCE</t>
        </is>
      </c>
      <c r="O74" s="22" t="inlineStr">
        <is>
          <t>PASS</t>
        </is>
      </c>
      <c r="P74" s="24" t="inlineStr">
        <is>
          <t>NO SOURCE</t>
        </is>
      </c>
      <c r="Q74" s="24" t="inlineStr">
        <is>
          <t>NO SOURCE</t>
        </is>
      </c>
      <c r="R74" s="24" t="inlineStr">
        <is>
          <t>NO SOURCE</t>
        </is>
      </c>
      <c r="S74" s="22" t="inlineStr">
        <is>
          <t>Pass</t>
        </is>
      </c>
      <c r="T74" s="25" t="inlineStr"/>
    </row>
    <row r="75">
      <c r="A75" s="36" t="n">
        <v>71</v>
      </c>
      <c r="B75" s="37" t="inlineStr">
        <is>
          <t>The Atera, PJ by Paramount Property</t>
        </is>
      </c>
      <c r="C75" s="38" t="inlineStr">
        <is>
          <t>Pass</t>
        </is>
      </c>
      <c r="D75" s="24" t="inlineStr">
        <is>
          <t>NO SOURCE</t>
        </is>
      </c>
      <c r="E75" s="36" t="inlineStr">
        <is>
          <t>—</t>
        </is>
      </c>
      <c r="F75" s="24" t="inlineStr">
        <is>
          <t>NO SOURCE</t>
        </is>
      </c>
      <c r="G75" s="24" t="inlineStr">
        <is>
          <t>NO SOURCE</t>
        </is>
      </c>
      <c r="H75" s="22" t="inlineStr">
        <is>
          <t>PASS</t>
        </is>
      </c>
      <c r="I75" s="22" t="inlineStr">
        <is>
          <t>PASS</t>
        </is>
      </c>
      <c r="J75" s="22" t="inlineStr">
        <is>
          <t>PASS</t>
        </is>
      </c>
      <c r="K75" s="22" t="inlineStr">
        <is>
          <t>PASS</t>
        </is>
      </c>
      <c r="L75" s="22" t="inlineStr">
        <is>
          <t>PASS</t>
        </is>
      </c>
      <c r="M75" s="24" t="inlineStr">
        <is>
          <t>NO SOURCE</t>
        </is>
      </c>
      <c r="N75" s="24" t="inlineStr">
        <is>
          <t>NO SOURCE</t>
        </is>
      </c>
      <c r="O75" s="22" t="inlineStr">
        <is>
          <t>PASS</t>
        </is>
      </c>
      <c r="P75" s="36" t="inlineStr">
        <is>
          <t>—</t>
        </is>
      </c>
      <c r="Q75" s="24" t="inlineStr">
        <is>
          <t>NO SOURCE</t>
        </is>
      </c>
      <c r="R75" s="24" t="inlineStr">
        <is>
          <t>NO SOURCE</t>
        </is>
      </c>
      <c r="S75" s="22" t="inlineStr">
        <is>
          <t>Pass</t>
        </is>
      </c>
      <c r="T75" s="25" t="inlineStr"/>
    </row>
    <row r="76">
      <c r="A76" s="36" t="n">
        <v>72</v>
      </c>
      <c r="B76" s="37" t="inlineStr">
        <is>
          <t>Anyara Hills</t>
        </is>
      </c>
      <c r="C76" s="38" t="inlineStr">
        <is>
          <t>Pass</t>
        </is>
      </c>
      <c r="D76" s="24" t="inlineStr">
        <is>
          <t>NO SOURCE</t>
        </is>
      </c>
      <c r="E76" s="36" t="inlineStr">
        <is>
          <t>—</t>
        </is>
      </c>
      <c r="F76" s="24" t="inlineStr">
        <is>
          <t>NO SOURCE</t>
        </is>
      </c>
      <c r="G76" s="24" t="inlineStr">
        <is>
          <t>NO SOURCE</t>
        </is>
      </c>
      <c r="H76" s="22" t="inlineStr">
        <is>
          <t>PASS</t>
        </is>
      </c>
      <c r="I76" s="22" t="inlineStr">
        <is>
          <t>PASS</t>
        </is>
      </c>
      <c r="J76" s="22" t="inlineStr">
        <is>
          <t>PASS</t>
        </is>
      </c>
      <c r="K76" s="24" t="inlineStr">
        <is>
          <t>NO SOURCE</t>
        </is>
      </c>
      <c r="L76" s="22" t="inlineStr">
        <is>
          <t>PASS</t>
        </is>
      </c>
      <c r="M76" s="22" t="inlineStr">
        <is>
          <t>PASS</t>
        </is>
      </c>
      <c r="N76" s="36" t="inlineStr">
        <is>
          <t>—</t>
        </is>
      </c>
      <c r="O76" s="22" t="inlineStr">
        <is>
          <t>PASS</t>
        </is>
      </c>
      <c r="P76" s="24" t="inlineStr">
        <is>
          <t>NO SOURCE</t>
        </is>
      </c>
      <c r="Q76" s="36" t="inlineStr">
        <is>
          <t>—</t>
        </is>
      </c>
      <c r="R76" s="24" t="inlineStr">
        <is>
          <t>NO SOURCE</t>
        </is>
      </c>
      <c r="S76" s="36" t="inlineStr">
        <is>
          <t>Not run</t>
        </is>
      </c>
      <c r="T76" s="25" t="inlineStr"/>
    </row>
    <row r="77">
      <c r="A77" s="36" t="n">
        <v>73</v>
      </c>
      <c r="B77" s="37" t="inlineStr">
        <is>
          <t>Yanu Hills @ Bon Estates</t>
        </is>
      </c>
      <c r="C77" s="38" t="inlineStr">
        <is>
          <t>Pass</t>
        </is>
      </c>
      <c r="D77" s="24" t="inlineStr">
        <is>
          <t>NO SOURCE</t>
        </is>
      </c>
      <c r="E77" s="36" t="inlineStr">
        <is>
          <t>—</t>
        </is>
      </c>
      <c r="F77" s="24" t="inlineStr">
        <is>
          <t>NO SOURCE</t>
        </is>
      </c>
      <c r="G77" s="24" t="inlineStr">
        <is>
          <t>NO SOURCE</t>
        </is>
      </c>
      <c r="H77" s="22" t="inlineStr">
        <is>
          <t>PASS</t>
        </is>
      </c>
      <c r="I77" s="24" t="inlineStr">
        <is>
          <t>NO SOURCE</t>
        </is>
      </c>
      <c r="J77" s="22" t="inlineStr">
        <is>
          <t>PASS</t>
        </is>
      </c>
      <c r="K77" s="22" t="inlineStr">
        <is>
          <t>PASS</t>
        </is>
      </c>
      <c r="L77" s="22" t="inlineStr">
        <is>
          <t>PASS</t>
        </is>
      </c>
      <c r="M77" s="22" t="inlineStr">
        <is>
          <t>PASS</t>
        </is>
      </c>
      <c r="N77" s="24" t="inlineStr">
        <is>
          <t>NO SOURCE</t>
        </is>
      </c>
      <c r="O77" s="22" t="inlineStr">
        <is>
          <t>PASS</t>
        </is>
      </c>
      <c r="P77" s="24" t="inlineStr">
        <is>
          <t>NO SOURCE</t>
        </is>
      </c>
      <c r="Q77" s="36" t="inlineStr">
        <is>
          <t>—</t>
        </is>
      </c>
      <c r="R77" s="36" t="inlineStr">
        <is>
          <t>—</t>
        </is>
      </c>
      <c r="S77" s="36" t="inlineStr">
        <is>
          <t>Not run</t>
        </is>
      </c>
      <c r="T77" s="25" t="inlineStr"/>
    </row>
    <row r="78">
      <c r="A78" s="36" t="n">
        <v>74</v>
      </c>
      <c r="B78" s="37" t="inlineStr">
        <is>
          <t>Rafflesia @ Hill 4</t>
        </is>
      </c>
      <c r="C78" s="38" t="inlineStr">
        <is>
          <t>Pass</t>
        </is>
      </c>
      <c r="D78" s="22" t="inlineStr">
        <is>
          <t>PASS</t>
        </is>
      </c>
      <c r="E78" s="22" t="inlineStr">
        <is>
          <t>PASS</t>
        </is>
      </c>
      <c r="F78" s="22" t="inlineStr">
        <is>
          <t>PASS</t>
        </is>
      </c>
      <c r="G78" s="22" t="inlineStr">
        <is>
          <t>PASS</t>
        </is>
      </c>
      <c r="H78" s="24" t="inlineStr">
        <is>
          <t>NO SOURCE</t>
        </is>
      </c>
      <c r="I78" s="22" t="inlineStr">
        <is>
          <t>PASS</t>
        </is>
      </c>
      <c r="J78" s="22" t="inlineStr">
        <is>
          <t>PASS</t>
        </is>
      </c>
      <c r="K78" s="22" t="inlineStr">
        <is>
          <t>PASS</t>
        </is>
      </c>
      <c r="L78" s="22" t="inlineStr">
        <is>
          <t>PASS</t>
        </is>
      </c>
      <c r="M78" s="22" t="inlineStr">
        <is>
          <t>PASS</t>
        </is>
      </c>
      <c r="N78" s="36" t="inlineStr">
        <is>
          <t>—</t>
        </is>
      </c>
      <c r="O78" s="22" t="inlineStr">
        <is>
          <t>PASS</t>
        </is>
      </c>
      <c r="P78" s="22" t="inlineStr">
        <is>
          <t>PASS</t>
        </is>
      </c>
      <c r="Q78" s="22" t="inlineStr">
        <is>
          <t>PASS</t>
        </is>
      </c>
      <c r="R78" s="24" t="inlineStr">
        <is>
          <t>NO SOURCE</t>
        </is>
      </c>
      <c r="S78" s="36" t="inlineStr">
        <is>
          <t>Not run</t>
        </is>
      </c>
      <c r="T78" s="25" t="inlineStr">
        <is>
          <t>Developer: MK Land</t>
        </is>
      </c>
    </row>
    <row r="79">
      <c r="A79" s="36" t="n">
        <v>75</v>
      </c>
      <c r="B79" s="37" t="inlineStr">
        <is>
          <t>DAYA Residence</t>
        </is>
      </c>
      <c r="C79" s="38" t="inlineStr">
        <is>
          <t>Pass</t>
        </is>
      </c>
      <c r="D79" s="24" t="inlineStr">
        <is>
          <t>NO SOURCE</t>
        </is>
      </c>
      <c r="E79" s="36" t="inlineStr">
        <is>
          <t>—</t>
        </is>
      </c>
      <c r="F79" s="24" t="inlineStr">
        <is>
          <t>NO SOURCE</t>
        </is>
      </c>
      <c r="G79" s="24" t="inlineStr">
        <is>
          <t>NO SOURCE</t>
        </is>
      </c>
      <c r="H79" s="22" t="inlineStr">
        <is>
          <t>PASS</t>
        </is>
      </c>
      <c r="I79" s="22" t="inlineStr">
        <is>
          <t>PASS</t>
        </is>
      </c>
      <c r="J79" s="22" t="inlineStr">
        <is>
          <t>PASS</t>
        </is>
      </c>
      <c r="K79" s="24" t="inlineStr">
        <is>
          <t>NO SOURCE</t>
        </is>
      </c>
      <c r="L79" s="22" t="inlineStr">
        <is>
          <t>PASS</t>
        </is>
      </c>
      <c r="M79" s="22" t="inlineStr">
        <is>
          <t>PASS</t>
        </is>
      </c>
      <c r="N79" s="36" t="inlineStr">
        <is>
          <t>—</t>
        </is>
      </c>
      <c r="O79" s="22" t="inlineStr">
        <is>
          <t>PASS</t>
        </is>
      </c>
      <c r="P79" s="36" t="inlineStr">
        <is>
          <t>—</t>
        </is>
      </c>
      <c r="Q79" s="36" t="inlineStr">
        <is>
          <t>—</t>
        </is>
      </c>
      <c r="R79" s="36" t="inlineStr">
        <is>
          <t>—</t>
        </is>
      </c>
      <c r="S79" s="36" t="inlineStr">
        <is>
          <t>Not run</t>
        </is>
      </c>
      <c r="T79" s="25" t="inlineStr"/>
    </row>
    <row r="80">
      <c r="A80" s="36" t="n">
        <v>76</v>
      </c>
      <c r="B80" s="37" t="inlineStr">
        <is>
          <t>Vila Setara Happy Garden</t>
        </is>
      </c>
      <c r="C80" s="38" t="inlineStr">
        <is>
          <t>Pass</t>
        </is>
      </c>
      <c r="D80" s="24" t="inlineStr">
        <is>
          <t>NO SOURCE</t>
        </is>
      </c>
      <c r="E80" s="24" t="inlineStr">
        <is>
          <t>NO SOURCE</t>
        </is>
      </c>
      <c r="F80" s="24" t="inlineStr">
        <is>
          <t>NO SOURCE</t>
        </is>
      </c>
      <c r="G80" s="24" t="inlineStr">
        <is>
          <t>NO SOURCE</t>
        </is>
      </c>
      <c r="H80" s="22" t="inlineStr">
        <is>
          <t>PASS</t>
        </is>
      </c>
      <c r="I80" s="22" t="inlineStr">
        <is>
          <t>PASS</t>
        </is>
      </c>
      <c r="J80" s="36" t="inlineStr">
        <is>
          <t>—</t>
        </is>
      </c>
      <c r="K80" s="36" t="inlineStr">
        <is>
          <t>—</t>
        </is>
      </c>
      <c r="L80" s="22" t="inlineStr">
        <is>
          <t>PASS</t>
        </is>
      </c>
      <c r="M80" s="22" t="inlineStr">
        <is>
          <t>PASS</t>
        </is>
      </c>
      <c r="N80" s="24" t="inlineStr">
        <is>
          <t>NO SOURCE</t>
        </is>
      </c>
      <c r="O80" s="22" t="inlineStr">
        <is>
          <t>PASS</t>
        </is>
      </c>
      <c r="P80" s="24" t="inlineStr">
        <is>
          <t>NO SOURCE</t>
        </is>
      </c>
      <c r="Q80" s="36" t="inlineStr">
        <is>
          <t>—</t>
        </is>
      </c>
      <c r="R80" s="24" t="inlineStr">
        <is>
          <t>NO SOURCE</t>
        </is>
      </c>
      <c r="S80" s="36" t="inlineStr">
        <is>
          <t>Not run</t>
        </is>
      </c>
      <c r="T80" s="25" t="inlineStr"/>
    </row>
    <row r="81">
      <c r="A81" s="36" t="n">
        <v>77</v>
      </c>
      <c r="B81" s="37" t="inlineStr">
        <is>
          <t>E&amp;O – City of Elmina (Laman Embun Commercial)</t>
        </is>
      </c>
      <c r="C81" s="38" t="inlineStr">
        <is>
          <t>Pass</t>
        </is>
      </c>
      <c r="D81" s="24" t="inlineStr">
        <is>
          <t>NO SOURCE</t>
        </is>
      </c>
      <c r="E81" s="36" t="inlineStr">
        <is>
          <t>—</t>
        </is>
      </c>
      <c r="F81" s="24" t="inlineStr">
        <is>
          <t>NO SOURCE</t>
        </is>
      </c>
      <c r="G81" s="24" t="inlineStr">
        <is>
          <t>NO SOURCE</t>
        </is>
      </c>
      <c r="H81" s="22" t="inlineStr">
        <is>
          <t>PASS</t>
        </is>
      </c>
      <c r="I81" s="22" t="inlineStr">
        <is>
          <t>PASS</t>
        </is>
      </c>
      <c r="J81" s="22" t="inlineStr">
        <is>
          <t>PASS</t>
        </is>
      </c>
      <c r="K81" s="36" t="inlineStr">
        <is>
          <t>—</t>
        </is>
      </c>
      <c r="L81" s="22" t="inlineStr">
        <is>
          <t>PASS</t>
        </is>
      </c>
      <c r="M81" s="22" t="inlineStr">
        <is>
          <t>PASS</t>
        </is>
      </c>
      <c r="N81" s="24" t="inlineStr">
        <is>
          <t>NO SOURCE</t>
        </is>
      </c>
      <c r="O81" s="22" t="inlineStr">
        <is>
          <t>PASS</t>
        </is>
      </c>
      <c r="P81" s="24" t="inlineStr">
        <is>
          <t>NO SOURCE</t>
        </is>
      </c>
      <c r="Q81" s="36" t="inlineStr">
        <is>
          <t>—</t>
        </is>
      </c>
      <c r="R81" s="36" t="inlineStr">
        <is>
          <t>—</t>
        </is>
      </c>
      <c r="S81" s="36" t="inlineStr">
        <is>
          <t>Not run</t>
        </is>
      </c>
      <c r="T81" s="25" t="inlineStr"/>
    </row>
    <row r="82">
      <c r="A82" s="36" t="n">
        <v>78</v>
      </c>
      <c r="B82" s="37" t="inlineStr">
        <is>
          <t>Aspire office @ KL ecocity</t>
        </is>
      </c>
      <c r="C82" s="38" t="inlineStr">
        <is>
          <t>Pass</t>
        </is>
      </c>
      <c r="D82" s="24" t="inlineStr">
        <is>
          <t>NO SOURCE</t>
        </is>
      </c>
      <c r="E82" s="36" t="inlineStr">
        <is>
          <t>—</t>
        </is>
      </c>
      <c r="F82" s="24" t="inlineStr">
        <is>
          <t>NO SOURCE</t>
        </is>
      </c>
      <c r="G82" s="24" t="inlineStr">
        <is>
          <t>NO SOURCE</t>
        </is>
      </c>
      <c r="H82" s="22" t="inlineStr">
        <is>
          <t>PASS</t>
        </is>
      </c>
      <c r="I82" s="22" t="inlineStr">
        <is>
          <t>PASS</t>
        </is>
      </c>
      <c r="J82" s="36" t="inlineStr">
        <is>
          <t>—</t>
        </is>
      </c>
      <c r="K82" s="24" t="inlineStr">
        <is>
          <t>NO SOURCE</t>
        </is>
      </c>
      <c r="L82" s="22" t="inlineStr">
        <is>
          <t>PASS</t>
        </is>
      </c>
      <c r="M82" s="36" t="inlineStr">
        <is>
          <t>—</t>
        </is>
      </c>
      <c r="N82" s="22" t="inlineStr">
        <is>
          <t>PASS</t>
        </is>
      </c>
      <c r="O82" s="22" t="inlineStr">
        <is>
          <t>PASS</t>
        </is>
      </c>
      <c r="P82" s="24" t="inlineStr">
        <is>
          <t>NO SOURCE</t>
        </is>
      </c>
      <c r="Q82" s="24" t="inlineStr">
        <is>
          <t>NO SOURCE</t>
        </is>
      </c>
      <c r="R82" s="36" t="inlineStr">
        <is>
          <t>—</t>
        </is>
      </c>
      <c r="S82" s="30" t="inlineStr">
        <is>
          <t>Fail</t>
        </is>
      </c>
      <c r="T82" s="25" t="inlineStr"/>
    </row>
    <row r="83">
      <c r="A83" s="36" t="n">
        <v>79</v>
      </c>
      <c r="B83" s="37" t="inlineStr">
        <is>
          <t>The MET, Corporate Tower</t>
        </is>
      </c>
      <c r="C83" s="38" t="inlineStr">
        <is>
          <t>Pass</t>
        </is>
      </c>
      <c r="D83" s="24" t="inlineStr">
        <is>
          <t>NO SOURCE</t>
        </is>
      </c>
      <c r="E83" s="36" t="inlineStr">
        <is>
          <t>—</t>
        </is>
      </c>
      <c r="F83" s="24" t="inlineStr">
        <is>
          <t>NO SOURCE</t>
        </is>
      </c>
      <c r="G83" s="24" t="inlineStr">
        <is>
          <t>NO SOURCE</t>
        </is>
      </c>
      <c r="H83" s="22" t="inlineStr">
        <is>
          <t>PASS</t>
        </is>
      </c>
      <c r="I83" s="22" t="inlineStr">
        <is>
          <t>PASS</t>
        </is>
      </c>
      <c r="J83" s="22" t="inlineStr">
        <is>
          <t>PASS</t>
        </is>
      </c>
      <c r="K83" s="36" t="inlineStr">
        <is>
          <t>—</t>
        </is>
      </c>
      <c r="L83" s="22" t="inlineStr">
        <is>
          <t>PASS</t>
        </is>
      </c>
      <c r="M83" s="22" t="inlineStr">
        <is>
          <t>PASS</t>
        </is>
      </c>
      <c r="N83" s="24" t="inlineStr">
        <is>
          <t>NO SOURCE</t>
        </is>
      </c>
      <c r="O83" s="22" t="inlineStr">
        <is>
          <t>PASS</t>
        </is>
      </c>
      <c r="P83" s="24" t="inlineStr">
        <is>
          <t>NO SOURCE</t>
        </is>
      </c>
      <c r="Q83" s="36" t="inlineStr">
        <is>
          <t>—</t>
        </is>
      </c>
      <c r="R83" s="36" t="inlineStr">
        <is>
          <t>—</t>
        </is>
      </c>
      <c r="S83" s="36" t="inlineStr">
        <is>
          <t>Not run</t>
        </is>
      </c>
      <c r="T83" s="25" t="inlineStr"/>
    </row>
    <row r="84">
      <c r="A84" s="36" t="n">
        <v>80</v>
      </c>
      <c r="B84" s="37" t="inlineStr">
        <is>
          <t>Sierra Hijau (Landed)</t>
        </is>
      </c>
      <c r="C84" s="38" t="inlineStr">
        <is>
          <t>Pass</t>
        </is>
      </c>
      <c r="D84" s="36" t="inlineStr">
        <is>
          <t>—</t>
        </is>
      </c>
      <c r="E84" s="36" t="inlineStr">
        <is>
          <t>—</t>
        </is>
      </c>
      <c r="F84" s="24" t="inlineStr">
        <is>
          <t>NO SOURCE</t>
        </is>
      </c>
      <c r="G84" s="24" t="inlineStr">
        <is>
          <t>NO SOURCE</t>
        </is>
      </c>
      <c r="H84" s="22" t="inlineStr">
        <is>
          <t>PASS</t>
        </is>
      </c>
      <c r="I84" s="22" t="inlineStr">
        <is>
          <t>PASS</t>
        </is>
      </c>
      <c r="J84" s="24" t="inlineStr">
        <is>
          <t>NO SOURCE</t>
        </is>
      </c>
      <c r="K84" s="22" t="inlineStr">
        <is>
          <t>PASS</t>
        </is>
      </c>
      <c r="L84" s="22" t="inlineStr">
        <is>
          <t>PASS</t>
        </is>
      </c>
      <c r="M84" s="22" t="inlineStr">
        <is>
          <t>PASS</t>
        </is>
      </c>
      <c r="N84" s="36" t="inlineStr">
        <is>
          <t>—</t>
        </is>
      </c>
      <c r="O84" s="22" t="inlineStr">
        <is>
          <t>PASS</t>
        </is>
      </c>
      <c r="P84" s="36" t="inlineStr">
        <is>
          <t>—</t>
        </is>
      </c>
      <c r="Q84" s="24" t="inlineStr">
        <is>
          <t>NO SOURCE</t>
        </is>
      </c>
      <c r="R84" s="36" t="inlineStr">
        <is>
          <t>—</t>
        </is>
      </c>
      <c r="S84" s="36" t="inlineStr">
        <is>
          <t>Not run</t>
        </is>
      </c>
      <c r="T84" s="25" t="inlineStr"/>
    </row>
    <row r="85">
      <c r="A85" s="36" t="n">
        <v>81</v>
      </c>
      <c r="B85" s="37" t="inlineStr">
        <is>
          <t>Melbourne Square</t>
        </is>
      </c>
      <c r="C85" s="38" t="inlineStr">
        <is>
          <t>Pass</t>
        </is>
      </c>
      <c r="D85" s="36" t="inlineStr">
        <is>
          <t>—</t>
        </is>
      </c>
      <c r="E85" s="24" t="inlineStr">
        <is>
          <t>NO SOURCE</t>
        </is>
      </c>
      <c r="F85" s="36" t="inlineStr">
        <is>
          <t>—</t>
        </is>
      </c>
      <c r="G85" s="36" t="inlineStr">
        <is>
          <t>—</t>
        </is>
      </c>
      <c r="H85" s="22" t="inlineStr">
        <is>
          <t>PASS</t>
        </is>
      </c>
      <c r="I85" s="22" t="inlineStr">
        <is>
          <t>PASS</t>
        </is>
      </c>
      <c r="J85" s="36" t="inlineStr">
        <is>
          <t>—</t>
        </is>
      </c>
      <c r="K85" s="36" t="inlineStr">
        <is>
          <t>—</t>
        </is>
      </c>
      <c r="L85" s="36" t="inlineStr">
        <is>
          <t>—</t>
        </is>
      </c>
      <c r="M85" s="22" t="inlineStr">
        <is>
          <t>PASS</t>
        </is>
      </c>
      <c r="N85" s="24" t="inlineStr">
        <is>
          <t>NO SOURCE</t>
        </is>
      </c>
      <c r="O85" s="22" t="inlineStr">
        <is>
          <t>PASS</t>
        </is>
      </c>
      <c r="P85" s="24" t="inlineStr">
        <is>
          <t>NO SOURCE</t>
        </is>
      </c>
      <c r="Q85" s="36" t="inlineStr">
        <is>
          <t>—</t>
        </is>
      </c>
      <c r="R85" s="36" t="inlineStr">
        <is>
          <t>—</t>
        </is>
      </c>
      <c r="S85" s="36" t="inlineStr">
        <is>
          <t>Not run</t>
        </is>
      </c>
      <c r="T85" s="25" t="inlineStr"/>
    </row>
    <row r="86">
      <c r="A86" s="36" t="n">
        <v>82</v>
      </c>
      <c r="B86" s="37" t="inlineStr">
        <is>
          <t>Lagenda Tunku (Villa Gemilang)</t>
        </is>
      </c>
      <c r="C86" s="38" t="inlineStr">
        <is>
          <t>Pass</t>
        </is>
      </c>
      <c r="D86" s="36" t="inlineStr">
        <is>
          <t>—</t>
        </is>
      </c>
      <c r="E86" s="36" t="inlineStr">
        <is>
          <t>—</t>
        </is>
      </c>
      <c r="F86" s="36" t="inlineStr">
        <is>
          <t>—</t>
        </is>
      </c>
      <c r="G86" s="36" t="inlineStr">
        <is>
          <t>—</t>
        </is>
      </c>
      <c r="H86" s="36" t="inlineStr">
        <is>
          <t>—</t>
        </is>
      </c>
      <c r="I86" s="36" t="inlineStr">
        <is>
          <t>—</t>
        </is>
      </c>
      <c r="J86" s="36" t="inlineStr">
        <is>
          <t>—</t>
        </is>
      </c>
      <c r="K86" s="36" t="inlineStr">
        <is>
          <t>—</t>
        </is>
      </c>
      <c r="L86" s="36" t="inlineStr">
        <is>
          <t>—</t>
        </is>
      </c>
      <c r="M86" s="36" t="inlineStr">
        <is>
          <t>—</t>
        </is>
      </c>
      <c r="N86" s="36" t="inlineStr">
        <is>
          <t>—</t>
        </is>
      </c>
      <c r="O86" s="36" t="inlineStr">
        <is>
          <t>—</t>
        </is>
      </c>
      <c r="P86" s="36" t="inlineStr">
        <is>
          <t>—</t>
        </is>
      </c>
      <c r="Q86" s="36" t="inlineStr">
        <is>
          <t>—</t>
        </is>
      </c>
      <c r="R86" s="36" t="inlineStr">
        <is>
          <t>—</t>
        </is>
      </c>
      <c r="S86" s="36" t="inlineStr">
        <is>
          <t>Not run</t>
        </is>
      </c>
      <c r="T86" s="25" t="inlineStr">
        <is>
          <t>Correctly says it is not in D2 inventory</t>
        </is>
      </c>
    </row>
    <row r="87">
      <c r="A87" s="36" t="n">
        <v>83</v>
      </c>
      <c r="B87" s="37" t="inlineStr">
        <is>
          <t>Ashbourne</t>
        </is>
      </c>
      <c r="C87" s="38" t="inlineStr">
        <is>
          <t>Pass</t>
        </is>
      </c>
      <c r="D87" s="36" t="inlineStr">
        <is>
          <t>—</t>
        </is>
      </c>
      <c r="E87" s="36" t="inlineStr">
        <is>
          <t>—</t>
        </is>
      </c>
      <c r="F87" s="36" t="inlineStr">
        <is>
          <t>—</t>
        </is>
      </c>
      <c r="G87" s="36" t="inlineStr">
        <is>
          <t>—</t>
        </is>
      </c>
      <c r="H87" s="36" t="inlineStr">
        <is>
          <t>—</t>
        </is>
      </c>
      <c r="I87" s="36" t="inlineStr">
        <is>
          <t>—</t>
        </is>
      </c>
      <c r="J87" s="36" t="inlineStr">
        <is>
          <t>—</t>
        </is>
      </c>
      <c r="K87" s="36" t="inlineStr">
        <is>
          <t>—</t>
        </is>
      </c>
      <c r="L87" s="36" t="inlineStr">
        <is>
          <t>—</t>
        </is>
      </c>
      <c r="M87" s="36" t="inlineStr">
        <is>
          <t>—</t>
        </is>
      </c>
      <c r="N87" s="36" t="inlineStr">
        <is>
          <t>—</t>
        </is>
      </c>
      <c r="O87" s="36" t="inlineStr">
        <is>
          <t>—</t>
        </is>
      </c>
      <c r="P87" s="36" t="inlineStr">
        <is>
          <t>—</t>
        </is>
      </c>
      <c r="Q87" s="36" t="inlineStr">
        <is>
          <t>—</t>
        </is>
      </c>
      <c r="R87" s="36" t="inlineStr">
        <is>
          <t>—</t>
        </is>
      </c>
      <c r="S87" s="36" t="inlineStr">
        <is>
          <t>Not run</t>
        </is>
      </c>
      <c r="T87" s="25" t="inlineStr">
        <is>
          <t>Correctly says it is not in D2 inventory</t>
        </is>
      </c>
    </row>
  </sheetData>
  <autoFilter ref="A4:T87"/>
  <mergeCells count="1">
    <mergeCell ref="A2:T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7" customWidth="1" min="1" max="1"/>
    <col width="42" customWidth="1" min="2" max="2"/>
    <col width="13" customWidth="1" min="3" max="3"/>
    <col width="60" customWidth="1" min="4" max="4"/>
    <col width="70" customWidth="1" min="5" max="5"/>
  </cols>
  <sheetData>
    <row r="1">
      <c r="A1" s="18" t="inlineStr">
        <is>
          <t>Case</t>
        </is>
      </c>
      <c r="B1" s="18" t="inlineStr">
        <is>
          <t>Prompt (sent exactly)</t>
        </is>
      </c>
      <c r="C1" s="18" t="inlineStr">
        <is>
          <t>Result</t>
        </is>
      </c>
      <c r="D1" s="18" t="inlineStr">
        <is>
          <t>What the Finder returned</t>
        </is>
      </c>
      <c r="E1" s="18" t="inlineStr">
        <is>
          <t>Verdict notes</t>
        </is>
      </c>
    </row>
    <row r="2" ht="75" customHeight="1">
      <c r="A2" s="32" t="inlineStr">
        <is>
          <t>F9</t>
        </is>
      </c>
      <c r="B2" s="25" t="inlineStr">
        <is>
          <t>Mr Lee, Malaysian, non-bumi, investment for rental yield, KLCC, up to 1.5 million</t>
        </is>
      </c>
      <c r="C2" s="38" t="inlineStr">
        <is>
          <t>Pass</t>
        </is>
      </c>
      <c r="D2" s="25" t="inlineStr">
        <is>
          <t>13 matching projects, same set as run 1: Dawn, SO Sofitel, Eaton, TRX Residences, Quill, Star, Platinum Face Suite 2, The Manor, Aria, Times Square 2, Clouthaus, The Centrix, PSQ</t>
        </is>
      </c>
      <c r="E2" s="25" t="inlineStr">
        <is>
          <t>d'Brightton titiwangsa no longer returned (fixed). Nothing above RM1.5m; no Core Residence or Conlay. Times Square 2 and TRX are stored as 'KLCC/Bukit Bintang', which the tester accepted on 24 Oct</t>
        </is>
      </c>
    </row>
    <row r="3" ht="75" customHeight="1">
      <c r="A3" s="32" t="inlineStr">
        <is>
          <t>F5</t>
        </is>
      </c>
      <c r="B3" s="25" t="inlineStr">
        <is>
          <t>Madam Wong, Malaysian, non-bumi, own stay, North Kiara, up to 800k</t>
        </is>
      </c>
      <c r="C3" s="38" t="inlineStr">
        <is>
          <t>Pass</t>
        </is>
      </c>
      <c r="D3" s="25" t="inlineStr">
        <is>
          <t>2 matching projects: Tangen Residences (RM659,000), Miranda Hill @ north kiara by BRDB (RM730,250)</t>
        </is>
      </c>
      <c r="E3" s="25" t="inlineStr">
        <is>
          <t>Exactly the two the MUST requires. Alstonia Hilltop Homes no longer returned (fixed); Papyrus absent</t>
        </is>
      </c>
    </row>
    <row r="4" ht="75" customHeight="1">
      <c r="A4" s="32" t="inlineStr">
        <is>
          <t>F1</t>
        </is>
      </c>
      <c r="B4" s="25" t="inlineStr">
        <is>
          <t>Encik Ali, Malaysian, non-bumi, own stay, Bukit Jalil, budget up to 800k</t>
        </is>
      </c>
      <c r="C4" s="41" t="inlineStr">
        <is>
          <t>Needs ruling</t>
        </is>
      </c>
      <c r="D4" s="25" t="inlineStr">
        <is>
          <t>2 matching projects: OAKA Residences (RM750,000), Exsim Project (no price)</t>
        </is>
      </c>
      <c r="E4" s="25" t="inlineStr">
        <is>
          <t>MUST met (OAKA listed). D-014 unchanged: RM750,000 is the price-range floor and the cheapest layout is ~RM850k. Derek to rule</t>
        </is>
      </c>
    </row>
    <row r="5" ht="75" customHeight="1">
      <c r="A5" s="32" t="inlineStr">
        <is>
          <t>N2</t>
        </is>
      </c>
      <c r="B5" s="25" t="inlineStr">
        <is>
          <t>Mr Lim, Malaysian, non-bumi, own stay, Bangsar, budget up to 650k</t>
        </is>
      </c>
      <c r="C5" s="38" t="inlineStr">
        <is>
          <t>Pass</t>
        </is>
      </c>
      <c r="D5" s="25" t="inlineStr">
        <is>
          <t>4 matching projects: The Lantern, Parkside (RM588,000), Pinnacle Bangsar, Residensi 38 Bangsar</t>
        </is>
      </c>
      <c r="E5" s="25" t="inlineStr">
        <is>
          <t>Parkside from RM588,000 as the MUST requires; no One Eleven, Rhombus or Enlace. Aspire office no longer returned (fixed, was 5 results)</t>
        </is>
      </c>
    </row>
    <row r="6" ht="75" customHeight="1">
      <c r="A6" s="32" t="inlineStr">
        <is>
          <t>F11</t>
        </is>
      </c>
      <c r="B6" s="25" t="inlineStr">
        <is>
          <t>Lead wants a 3-bedroom in Cheras, around 650k, Malaysian, own stay</t>
        </is>
      </c>
      <c r="C6" s="38" t="inlineStr">
        <is>
          <t>Pass</t>
        </is>
      </c>
      <c r="D6" s="25" t="inlineStr">
        <is>
          <t>"D2 currently has no active residential projects in Cheras." + next steps: ask about neighbouring locations; check whether a transit line drives the preference</t>
        </is>
      </c>
      <c r="E6" s="25" t="inlineStr">
        <is>
          <t>Pass. The saved reply is a proper refusal with 2 next steps, and since quick-kayinleong-100 it decodes: the 'No match found' card with its next-step list renders in the chat (verified live)</t>
        </is>
      </c>
    </row>
    <row r="7" ht="75" customHeight="1">
      <c r="A7" s="32" t="inlineStr">
        <is>
          <t>F13</t>
        </is>
      </c>
      <c r="B7" s="25" t="inlineStr">
        <is>
          <t>How much is Bangsar Hill Park?</t>
        </is>
      </c>
      <c r="C7" s="41" t="inlineStr">
        <is>
          <t>Needs ruling</t>
        </is>
      </c>
      <c r="D7" s="25" t="inlineStr">
        <is>
          <t>RM900 – RM1,000 psf rate, plus 'sample pricing records' from the KB (e.g. 978 sqft ~RM898,043; 1,478 sqft ~RM1,114,650 – RM1,147,011)</t>
        </is>
      </c>
      <c r="E7" s="25" t="inlineStr">
        <is>
          <t>MUST met (psf rate given). The totals come from a KB price list, not computed from psf, but their own psf (RM1,093 – RM1,317) contradicts the RM900 – RM1,000 entry rate. Derek to rule whether these may be quoted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 customWidth="1" min="1" max="1"/>
    <col width="10" customWidth="1" min="2" max="2"/>
    <col width="46" customWidth="1" min="3" max="3"/>
    <col width="70" customWidth="1" min="4" max="4"/>
    <col width="60" customWidth="1" min="5" max="5"/>
  </cols>
  <sheetData>
    <row r="1">
      <c r="A1" s="18" t="inlineStr">
        <is>
          <t>#</t>
        </is>
      </c>
      <c r="B1" s="18" t="inlineStr">
        <is>
          <t>Severity</t>
        </is>
      </c>
      <c r="C1" s="18" t="inlineStr">
        <is>
          <t>Finding</t>
        </is>
      </c>
      <c r="D1" s="18" t="inlineStr">
        <is>
          <t>Evidence</t>
        </is>
      </c>
      <c r="E1" s="18" t="inlineStr">
        <is>
          <t>Recommended fix</t>
        </is>
      </c>
    </row>
    <row r="2" ht="95" customHeight="1">
      <c r="A2" s="36" t="n">
        <v>1</v>
      </c>
      <c r="B2" s="33" t="inlineStr">
        <is>
          <t>High</t>
        </is>
      </c>
      <c r="C2" s="34" t="inlineStr">
        <is>
          <t>The client sheet's Developer column is misplaced in two blocks</t>
        </is>
      </c>
      <c r="D2" s="25" t="inlineStr">
        <is>
          <t>Rows 114-125: each Developer cell holds the developer of the project six rows below (Senja = CCCG-WCT is Core's; 18 Madge = Chin Hin is Dawn's; Aria = City View Ventures is Eaton's; Clouthaus = Armani Hallson KLCC is Armani Hallson's; Conlay = Orion Tower is Orion's; Orion = Oxley is SO Sofitel's...). Rows 91-93 (Majestic, St. Regis, Aster Hill) are offset by one. Each project's own stored write-up names the developer the sheet places in another row (Katana 2's write-up says BSG Group, which the sheet has in Dawn's row; Aster Hill's says UOA, which the sheet has in St. Regis's row). Other columns in those rows match the older records (units, floors). Claim 096 copied the cells into the KB fact sheets, so answers now give two developers</t>
        </is>
      </c>
      <c r="E2" s="25" t="inlineStr">
        <is>
          <t>Ask the client to correct the Developer column for rows 91-93 and 114-125, then re-run the 096 import and fact-sheet ingest for those projects</t>
        </is>
      </c>
    </row>
    <row r="3" ht="95" customHeight="1">
      <c r="A3" s="36" t="n">
        <v>2</v>
      </c>
      <c r="B3" s="33" t="inlineStr">
        <is>
          <t>High</t>
        </is>
      </c>
      <c r="C3" s="34" t="inlineStr">
        <is>
          <t>Project detail lookups pulled in extracts from OTHER projects (fixed in quick-kayinleong-100)</t>
        </is>
      </c>
      <c r="D3" s="25" t="inlineStr">
        <is>
          <t>Measured live on the old code: 49 of the top 96 knowledge-base extracts for 12 projects came from other projects' documents (for example, Katana 2 got 18 Madge WhatsApp extracts and Platinum Face got the Aster Hill brochure). The developer mismatches in this run, however, trace to each project's own stored write-up versus its own client fact sheet (see finding 1), not to these foreign extracts</t>
        </is>
      </c>
      <c r="E3" s="25" t="inlineStr">
        <is>
          <t>Done in quick-kayinleong-100: projectDetail now keeps only the asked-about project's own documents (re-checked live on 8 projects: every cited source is now the project's own). 35 WhatsApp groups with a variant title (e.g. 'Eaton KLCC') need their category set to the inventory name to count again</t>
        </is>
      </c>
    </row>
    <row r="4" ht="95" customHeight="1">
      <c r="A4" s="36" t="n">
        <v>3</v>
      </c>
      <c r="B4" s="41" t="inlineStr">
        <is>
          <t>Medium</t>
        </is>
      </c>
      <c r="C4" s="34" t="inlineStr">
        <is>
          <t>Older WhatsApp/KB records contradict the client sheet, and the Finder has no rule for which wins</t>
        </is>
      </c>
      <c r="D4" s="25" t="inlineStr">
        <is>
          <t>Aetas Taman Desa developer (Avaland vs Berjaya Hartanah), PSQ total units (960 + 106 suites vs 1,158), Orion land title (commercial HDA vs residential), Ritz-Carlton address (Jalan Sultan Ismail vs 105 Jalan Ampang)</t>
        </is>
      </c>
      <c r="E4" s="25" t="inlineStr">
        <is>
          <t>After the sheet is corrected: tell the Finder that the client fact sheet is the newest source and wins, and to say so when an older record disagrees</t>
        </is>
      </c>
    </row>
    <row r="5" ht="95" customHeight="1">
      <c r="A5" s="36" t="n">
        <v>4</v>
      </c>
      <c r="B5" s="41" t="inlineStr">
        <is>
          <t>Medium</t>
        </is>
      </c>
      <c r="C5" s="34" t="inlineStr">
        <is>
          <t>Gemini replies without a 'matches' key failed to decode (fixed in quick-kayinleong-100)</t>
        </is>
      </c>
      <c r="D5" s="25" t="inlineStr">
        <is>
          <t>F11 refusal had reason, explanation and 2 next steps but no 'matches'; FinderOutputSchema requires it, so the card did not render. The server log also shows 'structured output did NOT decode' for detail answers</t>
        </is>
      </c>
      <c r="E5" s="25" t="inlineStr">
        <is>
          <t>Done in quick-kayinleong-100: a missing 'matches' defaults to []. Re-checked live: the Cheras answer now renders the 'No match found' card with its next steps</t>
        </is>
      </c>
    </row>
    <row r="6" ht="95" customHeight="1">
      <c r="A6" s="36" t="n">
        <v>5</v>
      </c>
      <c r="B6" s="35" t="inlineStr">
        <is>
          <t>Info</t>
        </is>
      </c>
      <c r="C6" s="34" t="inlineStr">
        <is>
          <t>The Anthropic API key has no credit</t>
        </is>
      </c>
      <c r="D6" s="25" t="inlineStr">
        <is>
          <t>First local prompt failed: 'Your credit balance is too low to access the Anthropic API'. Very likely the cause of UAT defect D-017 (every query failing)</t>
        </is>
      </c>
      <c r="E6" s="25" t="inlineStr">
        <is>
          <t>Top up the Anthropic account behind the production key</t>
        </is>
      </c>
    </row>
    <row r="7" ht="95" customHeight="1">
      <c r="A7" s="36" t="n">
        <v>6</v>
      </c>
      <c r="B7" s="35" t="inlineStr">
        <is>
          <t>Info</t>
        </is>
      </c>
      <c r="C7" s="34" t="inlineStr">
        <is>
          <t>The token cap allows about 16 detail answers per agent per day</t>
        </is>
      </c>
      <c r="D7" s="25" t="inlineStr">
        <is>
          <t>Each full-detail Finder answer used ~18k tokens; the 300k / 24h cap tripped after 15-17 answers, 5 times in this run</t>
        </is>
      </c>
      <c r="E7" s="25" t="inlineStr">
        <is>
          <t>Review TOKEN_CAP (src/ratelimit/window.ts) against real usage before agents rely on detail answers</t>
        </is>
      </c>
    </row>
    <row r="8" ht="95" customHeight="1">
      <c r="A8" s="36" t="n">
        <v>7</v>
      </c>
      <c r="B8" s="39" t="inlineStr">
        <is>
          <t>Low</t>
        </is>
      </c>
      <c r="C8" s="34" t="inlineStr">
        <is>
          <t>Three areas are worded differently from the client sheet</t>
        </is>
      </c>
      <c r="D8" s="25" t="inlineStr">
        <is>
          <t>ViiA 'KL Eco City' (sheet: Bangsar), Riana Trees 'Pantai Sentral Park' (sheet: Bangsar South), Quill 'Jalan Sultan Ismail, Golden Triangle' (sheet: KLCC)</t>
        </is>
      </c>
      <c r="E8" s="25" t="inlineStr">
        <is>
          <t>The deferred 096 step: append the client sheet's Area to locationText (also improves area search recall)</t>
        </is>
      </c>
    </row>
    <row r="9" ht="95" customHeight="1">
      <c r="A9" s="36" t="n">
        <v>8</v>
      </c>
      <c r="B9" s="35" t="inlineStr">
        <is>
          <t>Info</t>
        </is>
      </c>
      <c r="C9" s="34" t="inlineStr">
        <is>
          <t>Many values have no client-sheet source</t>
        </is>
      </c>
      <c r="D9" s="25" t="inlineStr">
        <is>
          <t>488 cells: the bot quoted furnishing, car parks, top reasons, sizes or prices from older KB records where the client sheet is blank</t>
        </is>
      </c>
      <c r="E9" s="25" t="inlineStr">
        <is>
          <t>Not a defect. Ask the client to fill these columns if they should be authoritative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4" customWidth="1" min="1" max="1"/>
    <col width="32" customWidth="1" min="2" max="2"/>
    <col width="12" customWidth="1" min="3" max="3"/>
    <col width="45" customWidth="1" min="4" max="4"/>
    <col width="60" customWidth="1" min="5" max="5"/>
    <col width="55" customWidth="1" min="6" max="6"/>
  </cols>
  <sheetData>
    <row r="1">
      <c r="A1" s="18" t="inlineStr">
        <is>
          <t>#</t>
        </is>
      </c>
      <c r="B1" s="18" t="inlineStr">
        <is>
          <t>Project</t>
        </is>
      </c>
      <c r="C1" s="18" t="inlineStr">
        <is>
          <t>Final</t>
        </is>
      </c>
      <c r="D1" s="18" t="inlineStr">
        <is>
          <t>Client sheet developer</t>
        </is>
      </c>
      <c r="E1" s="18" t="inlineStr">
        <is>
          <t>Finder's answer</t>
        </is>
      </c>
      <c r="F1" s="18" t="inlineStr">
        <is>
          <t>Sources the answer cited</t>
        </is>
      </c>
    </row>
    <row r="2">
      <c r="A2" s="36" t="n">
        <v>1</v>
      </c>
      <c r="B2" s="37" t="inlineStr">
        <is>
          <t>Damansara City Residency (DC Residensi)</t>
        </is>
      </c>
      <c r="C2" s="38" t="inlineStr">
        <is>
          <t>PASS</t>
        </is>
      </c>
      <c r="D2" s="25" t="inlineStr">
        <is>
          <t>Damansara City Sdn Bhd (a subsidiary of GuocoLand Malaysia)</t>
        </is>
      </c>
      <c r="E2" s="25" t="inlineStr">
        <is>
          <t>- Developer: Damansara City Sdn Bhd (a subsidiary of GuocoLand Malaysia) [KB:yzaSj7AkYTwXqOO7Clod]</t>
        </is>
      </c>
      <c r="F2" s="25" t="inlineStr">
        <is>
          <t>WhatsApp — Damansara City Residency (DC Residensi)</t>
        </is>
      </c>
    </row>
    <row r="3">
      <c r="A3" s="36" t="n">
        <v>2</v>
      </c>
      <c r="B3" s="37" t="inlineStr">
        <is>
          <t>PDH: Imperial Residences RA</t>
        </is>
      </c>
      <c r="C3" s="35" t="inlineStr">
        <is>
          <t>NO SOURCE</t>
        </is>
      </c>
      <c r="D3" s="25" t="inlineStr">
        <is>
          <t>—</t>
        </is>
      </c>
      <c r="E3" s="25" t="inlineStr">
        <is>
          <t>- Developer: 1 Pavilion Group (Jendela Mayang Sdn Bhd)</t>
        </is>
      </c>
      <c r="F3" s="25" t="inlineStr">
        <is>
          <t>—</t>
        </is>
      </c>
    </row>
    <row r="4">
      <c r="A4" s="36" t="n">
        <v>3</v>
      </c>
      <c r="B4" s="37" t="inlineStr">
        <is>
          <t>Bangsar Hill Park</t>
        </is>
      </c>
      <c r="C4" s="38" t="inlineStr">
        <is>
          <t>PASS</t>
        </is>
      </c>
      <c r="D4" s="25" t="inlineStr">
        <is>
          <t>Bangsar Hill Park Development Sdn Bhd (a subsidiary of Suezcap, known for projects like Bangsar South KL Gateway)</t>
        </is>
      </c>
      <c r="E4" s="25" t="inlineStr">
        <is>
          <t>* Developer: Bangsar Hill Park Development Sdn Bhd (subsidiary of Suezcap / Suez Capital Sdn Bhd) [KB:0t17yp97hE6PpK2dtosA]</t>
        </is>
      </c>
      <c r="F4" s="25" t="inlineStr">
        <is>
          <t>WhatsApp — Bangsar Hill Park</t>
        </is>
      </c>
    </row>
    <row r="5">
      <c r="A5" s="36" t="n">
        <v>4</v>
      </c>
      <c r="B5" s="37" t="inlineStr">
        <is>
          <t>ViiA Residences</t>
        </is>
      </c>
      <c r="C5" s="38" t="inlineStr">
        <is>
          <t>PASS</t>
        </is>
      </c>
      <c r="D5" s="25" t="inlineStr">
        <is>
          <t>S P Setia Berhad (Top 10 listed developer in Malaysia)</t>
        </is>
      </c>
      <c r="E5" s="25" t="inlineStr">
        <is>
          <t>- Developer: S P Setia Berhad [KB:FrVgEO3kzJw6UimskQ8o]</t>
        </is>
      </c>
      <c r="F5" s="25" t="inlineStr">
        <is>
          <t>WhatsApp — ViiA Residences</t>
        </is>
      </c>
    </row>
    <row r="6">
      <c r="A6" s="36" t="n">
        <v>5</v>
      </c>
      <c r="B6" s="37" t="inlineStr">
        <is>
          <t>Enlace Suites @ Pantai Sentral Park</t>
        </is>
      </c>
      <c r="C6" s="38" t="inlineStr">
        <is>
          <t>PASS</t>
        </is>
      </c>
      <c r="D6" s="25" t="inlineStr">
        <is>
          <t>Amona Development Sdn Bhd (Joint development with IJM Land – Pantai Sentral Park)</t>
        </is>
      </c>
      <c r="E6" s="25" t="inlineStr">
        <is>
          <t>- Developer: Amona Development Sdn Bhd (Joint development with IJM Land) [KB:fkIknvBI1Rqt5PlJyBrh]</t>
        </is>
      </c>
      <c r="F6" s="25" t="inlineStr">
        <is>
          <t>Enlace Suites @ Pantai Sentral Park — D2 project facts (client sheet)</t>
        </is>
      </c>
    </row>
    <row r="7">
      <c r="A7" s="36" t="n">
        <v>6</v>
      </c>
      <c r="B7" s="37" t="inlineStr">
        <is>
          <t>The Lantern Bangsar</t>
        </is>
      </c>
      <c r="C7" s="38" t="inlineStr">
        <is>
          <t>PASS</t>
        </is>
      </c>
      <c r="D7" s="25" t="inlineStr">
        <is>
          <t>CDC (10 years in Malaysia; built Capri Hotel Bukit Bintang)</t>
        </is>
      </c>
      <c r="E7" s="25" t="inlineStr">
        <is>
          <t>- Developer: CDC (Taiwan Public Listed Company with 77 years of market experience; 10 years in Malaysia; built Capri by Fraser Hotel Bukit Bintang) [KB:z3EkItmn7uYiXy0Q7AuT], [KB:Mu38hPj7Bu8z3HzkWfQL]</t>
        </is>
      </c>
      <c r="F7" s="25" t="inlineStr">
        <is>
          <t>The Lantern Bangsar — D2 project facts (client sheet) | WhatsApp — The Lantern Bangsar</t>
        </is>
      </c>
    </row>
    <row r="8">
      <c r="A8" s="36" t="n">
        <v>7</v>
      </c>
      <c r="B8" s="37" t="inlineStr">
        <is>
          <t>One Eleven Menerung @ Bangsar</t>
        </is>
      </c>
      <c r="C8" s="38" t="inlineStr">
        <is>
          <t>PASS</t>
        </is>
      </c>
      <c r="D8" s="25" t="inlineStr">
        <is>
          <t>BRDB</t>
        </is>
      </c>
      <c r="E8" s="25" t="inlineStr">
        <is>
          <t>* Developer: BRDB [KB:cK6kmEwogtIZDfJvbTBI]</t>
        </is>
      </c>
      <c r="F8" s="25" t="inlineStr">
        <is>
          <t>One Eleven Menerung @ Bangsar — D2 project facts (client sheet)</t>
        </is>
      </c>
    </row>
    <row r="9">
      <c r="A9" s="36" t="n">
        <v>8</v>
      </c>
      <c r="B9" s="37" t="inlineStr">
        <is>
          <t>Pavilion Damansara Heights</t>
        </is>
      </c>
      <c r="C9" s="38" t="inlineStr">
        <is>
          <t>PASS</t>
        </is>
      </c>
      <c r="D9" s="25" t="inlineStr">
        <is>
          <t>Pavilion Damansara (Impian Ekspresi Sdn Bhd)</t>
        </is>
      </c>
      <c r="E9" s="25" t="inlineStr">
        <is>
          <t>- Developer: Impian Ekspresi Sdn Bhd / Jendela Mayang Sdn Bhd (Pavilion Group / 1 Pavilion Group) [KB:B5QzV2j9rYbEMsLHb84f, KB:pGJBu3xWUrLOi2NhL8ci]</t>
        </is>
      </c>
      <c r="F9" s="25" t="inlineStr">
        <is>
          <t>Pavilion Damansara Heights — R2 Chinese Broucher.pdf | Pavilion Damansara Heights: Royal Suites(RC) — D2 project facts (client sheet)</t>
        </is>
      </c>
    </row>
    <row r="10">
      <c r="A10" s="36" t="n">
        <v>9</v>
      </c>
      <c r="B10" s="37" t="inlineStr">
        <is>
          <t>PDH: Royal Suites(RC)</t>
        </is>
      </c>
      <c r="C10" s="38" t="inlineStr">
        <is>
          <t>PASS</t>
        </is>
      </c>
      <c r="D10" s="25" t="inlineStr">
        <is>
          <t>Jendela Mayang Sdn Bhd (Pavilion Group)</t>
        </is>
      </c>
      <c r="E10" s="25" t="inlineStr">
        <is>
          <t>- Developer: Jendela Mayang Sdn Bhd (Pavilion Group) [KB:pGJBu3xWUrLOi2NhL8ci]</t>
        </is>
      </c>
      <c r="F10" s="25" t="inlineStr">
        <is>
          <t>Pavilion Damansara Heights: Royal Suites(RC) — D2 project facts (client sheet)</t>
        </is>
      </c>
    </row>
    <row r="11">
      <c r="A11" s="36" t="n">
        <v>10</v>
      </c>
      <c r="B11" s="37" t="inlineStr">
        <is>
          <t>Pinnacle Bangsar Residence</t>
        </is>
      </c>
      <c r="C11" s="38" t="inlineStr">
        <is>
          <t>PASS</t>
        </is>
      </c>
      <c r="D11" s="25" t="inlineStr">
        <is>
          <t>Pinnacle Homes Group of Companies</t>
        </is>
      </c>
      <c r="E11" s="25" t="inlineStr">
        <is>
          <t>* Developer: Pinnacle Homes Group of Companies [KB:0wEHxV8AFCXJp3WLEtv3]</t>
        </is>
      </c>
      <c r="F11" s="25" t="inlineStr">
        <is>
          <t>Pinnacle Bangsar Residence — D2 project facts (client sheet)</t>
        </is>
      </c>
    </row>
    <row r="12">
      <c r="A12" s="36" t="n">
        <v>11</v>
      </c>
      <c r="B12" s="37" t="inlineStr">
        <is>
          <t>Parkside Residences</t>
        </is>
      </c>
      <c r="C12" s="38" t="inlineStr">
        <is>
          <t>PASS</t>
        </is>
      </c>
      <c r="D12" s="25" t="inlineStr">
        <is>
          <t>Setia M S SFH Development Sdn Bhd / JV of SP Setia (Top 10 listed developer Malaysia) + Mitsui Fudosan (Japan's largest developer)</t>
        </is>
      </c>
      <c r="E12" s="25" t="inlineStr">
        <is>
          <t>- Developer: Setia M S SFH Development Sdn Bhd (JV of SP Setia &amp; Mitsui Fudosan) [KB:U0LC1UsFCO2FhmxsHtTr]</t>
        </is>
      </c>
      <c r="F12" s="25" t="inlineStr">
        <is>
          <t>WhatsApp — Parkside Residences</t>
        </is>
      </c>
    </row>
    <row r="13">
      <c r="A13" s="36" t="n">
        <v>12</v>
      </c>
      <c r="B13" s="37" t="inlineStr">
        <is>
          <t>Rhombus</t>
        </is>
      </c>
      <c r="C13" s="38" t="inlineStr">
        <is>
          <t>PASS</t>
        </is>
      </c>
      <c r="D13" s="25" t="inlineStr">
        <is>
          <t>Benéton Properties Sdn Bhd</t>
        </is>
      </c>
      <c r="E13" s="25" t="inlineStr">
        <is>
          <t>- Developer: Benéton Properties Sdn Bhd [KB:EJlKTBJNaJMI2zy6KIb0]</t>
        </is>
      </c>
      <c r="F13" s="25" t="inlineStr">
        <is>
          <t>WhatsApp — Rhombus</t>
        </is>
      </c>
    </row>
    <row r="14">
      <c r="A14" s="36" t="n">
        <v>13</v>
      </c>
      <c r="B14" s="37" t="inlineStr">
        <is>
          <t>Riana Trees Residences</t>
        </is>
      </c>
      <c r="C14" s="38" t="inlineStr">
        <is>
          <t>PASS</t>
        </is>
      </c>
      <c r="D14" s="25" t="inlineStr">
        <is>
          <t>Amona Development Sdn Bhd (Joint development with IJM Land – Pantai Sentral Park)</t>
        </is>
      </c>
      <c r="E14" s="25" t="inlineStr">
        <is>
          <t>* Developer: Amona Development Sdn Bhd (JV with IJM Land) [KB:ZVqX68JZZ4f2JDj6JKaW]</t>
        </is>
      </c>
      <c r="F14" s="25" t="inlineStr">
        <is>
          <t>WhatsApp — Riana Trees Residences</t>
        </is>
      </c>
    </row>
    <row r="15">
      <c r="A15" s="36" t="n">
        <v>14</v>
      </c>
      <c r="B15" s="37" t="inlineStr">
        <is>
          <t>Residensi 38 Bangsar</t>
        </is>
      </c>
      <c r="C15" s="38" t="inlineStr">
        <is>
          <t>PASS</t>
        </is>
      </c>
      <c r="D15" s="25" t="inlineStr">
        <is>
          <t>ONE JSI Development Sdn Bhd</t>
        </is>
      </c>
      <c r="E15" s="25" t="inlineStr">
        <is>
          <t>* Developer: ONE JSI Development Sdn Bhd / UDA Property JV [KB:hNHTXPPPSitIOHerHKUX]</t>
        </is>
      </c>
      <c r="F15" s="25" t="inlineStr">
        <is>
          <t>WhatsApp — Residensi 38 Bangsar</t>
        </is>
      </c>
    </row>
    <row r="16">
      <c r="A16" s="36" t="n">
        <v>15</v>
      </c>
      <c r="B16" s="37" t="inlineStr">
        <is>
          <t>Lunar Seputeh</t>
        </is>
      </c>
      <c r="C16" s="38" t="inlineStr">
        <is>
          <t>PASS</t>
        </is>
      </c>
      <c r="D16" s="25" t="inlineStr">
        <is>
          <t>MRCB Seputeh Land Sdn Bhd (subsidiary of MRCB)</t>
        </is>
      </c>
      <c r="E16" s="25" t="inlineStr">
        <is>
          <t>- Developer: MRCB Seputeh Land Sdn Bhd (subsidiary of MRCB) [KB:NEsZFznN5W1yR6ORoGa1]</t>
        </is>
      </c>
      <c r="F16" s="25" t="inlineStr">
        <is>
          <t>Lunar Seputeh — D2 project facts (client sheet)</t>
        </is>
      </c>
    </row>
    <row r="17">
      <c r="A17" s="36" t="n">
        <v>16</v>
      </c>
      <c r="B17" s="37" t="inlineStr">
        <is>
          <t>Sentral Suites @ KL Sentral</t>
        </is>
      </c>
      <c r="C17" s="38" t="inlineStr">
        <is>
          <t>PASS</t>
        </is>
      </c>
      <c r="D17" s="25" t="inlineStr">
        <is>
          <t>MRCB (Master Developer of KL Sentral)</t>
        </is>
      </c>
      <c r="E17" s="25" t="inlineStr">
        <is>
          <t>- Developer: MRCB (Master Developer of KL Sentral) [KB:7A0IhjLXTFwJ7yPx3aKg]</t>
        </is>
      </c>
      <c r="F17" s="25" t="inlineStr">
        <is>
          <t>Sentral Suites @ KL Sentral — D2 project facts (client sheet)</t>
        </is>
      </c>
    </row>
    <row r="18">
      <c r="A18" s="36" t="n">
        <v>17</v>
      </c>
      <c r="B18" s="37" t="inlineStr">
        <is>
          <t>The Cedar Damansara Heights</t>
        </is>
      </c>
      <c r="C18" s="35" t="inlineStr">
        <is>
          <t>NO SOURCE</t>
        </is>
      </c>
      <c r="D18" s="25" t="inlineStr">
        <is>
          <t>—</t>
        </is>
      </c>
      <c r="E18" s="25" t="inlineStr">
        <is>
          <t>* Developer: Satin Magic Sdn Bhd by Datuk Jagan Sabapathy (managed by Tribeca Real Estate Management Sdn Bhd) [KB:ekNzwDB5rKUziEUMPSTs]</t>
        </is>
      </c>
      <c r="F18" s="25" t="inlineStr">
        <is>
          <t>WhatsApp — The Cedar Damansara Heights</t>
        </is>
      </c>
    </row>
    <row r="19">
      <c r="A19" s="36" t="n">
        <v>18</v>
      </c>
      <c r="B19" s="37" t="inlineStr">
        <is>
          <t>Tria Seputeh</t>
        </is>
      </c>
      <c r="C19" s="38" t="inlineStr">
        <is>
          <t>PASS</t>
        </is>
      </c>
      <c r="D19" s="25" t="inlineStr">
        <is>
          <t>MRCB (Master Developer of KL Sentral — 72 acres; completed 19 corporate towers, 4 hotels, 4 residences, 1 mall)</t>
        </is>
      </c>
      <c r="E19" s="25" t="inlineStr">
        <is>
          <t>- Developer: MRCB (MRCB Seputeh Land Sdn Bhd) [KB:mbS09fhOtat1MX2UHfQR] [KB:n7kwnHcmftO5XOYKJ4uu]</t>
        </is>
      </c>
      <c r="F19" s="25" t="inlineStr">
        <is>
          <t>Tria Seputeh — D2 project facts (client sheet) | Tria Seputeh — Pelto&amp;Cavi_E-Leaflet_2023.pdf</t>
        </is>
      </c>
    </row>
    <row r="20">
      <c r="A20" s="36" t="n">
        <v>19</v>
      </c>
      <c r="B20" s="37" t="inlineStr">
        <is>
          <t>d'Brightton titiwangsa</t>
        </is>
      </c>
      <c r="C20" s="38" t="inlineStr">
        <is>
          <t>PASS</t>
        </is>
      </c>
      <c r="D20" s="25" t="inlineStr">
        <is>
          <t>GSD Land</t>
        </is>
      </c>
      <c r="E20" s="25" t="inlineStr">
        <is>
          <t>- Developer: GSD Land [KB:NJF4TFOBoge0S8HrRxtj] [KB:TzFNnP8wCZJuuJzNQbEY]</t>
        </is>
      </c>
      <c r="F20" s="25" t="inlineStr">
        <is>
          <t>d'Brightton titiwangsa — D2 project facts (client sheet) | WhatsApp — d'Brightton titiwangsa</t>
        </is>
      </c>
    </row>
    <row r="21">
      <c r="A21" s="36" t="n">
        <v>20</v>
      </c>
      <c r="B21" s="37" t="inlineStr">
        <is>
          <t>IJM Sierra Hijauan</t>
        </is>
      </c>
      <c r="C21" s="38" t="inlineStr">
        <is>
          <t>PASS</t>
        </is>
      </c>
      <c r="D21" s="25" t="inlineStr">
        <is>
          <t>Sierra Ukay Sdn Bhd (subsidiary of IJM Berhad)</t>
        </is>
      </c>
      <c r="E21" s="25" t="inlineStr">
        <is>
          <t>* Developer: Sierra Ukay Sdn Bhd (subsidiary of IJM Berhad) [KB:xDAu3otjbk2PIreFSX0s]</t>
        </is>
      </c>
      <c r="F21" s="25" t="inlineStr">
        <is>
          <t>IJM Sierra Hijauan — D2 project facts (client sheet)</t>
        </is>
      </c>
    </row>
    <row r="22">
      <c r="A22" s="36" t="n">
        <v>21</v>
      </c>
      <c r="B22" s="37" t="inlineStr">
        <is>
          <t>Puncak Wangsamas Phase 2</t>
        </is>
      </c>
      <c r="C22" s="38" t="inlineStr">
        <is>
          <t>PASS</t>
        </is>
      </c>
      <c r="D22" s="25" t="inlineStr">
        <is>
          <t>Low Keng Huat Berhad</t>
        </is>
      </c>
      <c r="E22" s="25" t="inlineStr">
        <is>
          <t>- Developer: Low Keng Huat Berhad [KB:sTkiMAcg1U7rk3g0uAOm]</t>
        </is>
      </c>
      <c r="F22" s="25" t="inlineStr">
        <is>
          <t>Puncak Wangsamas Phase 2 — D2 project facts (client sheet)</t>
        </is>
      </c>
    </row>
    <row r="23">
      <c r="A23" s="36" t="n">
        <v>22</v>
      </c>
      <c r="B23" s="37" t="inlineStr">
        <is>
          <t>The Reya</t>
        </is>
      </c>
      <c r="C23" s="38" t="inlineStr">
        <is>
          <t>PASS</t>
        </is>
      </c>
      <c r="D23" s="25" t="inlineStr">
        <is>
          <t>Sime Darby Property</t>
        </is>
      </c>
      <c r="E23" s="25" t="inlineStr">
        <is>
          <t>- Developer: Sime Darby Property [KB:jcWQh7l2xsQuw3KupwBf]</t>
        </is>
      </c>
      <c r="F23" s="25" t="inlineStr">
        <is>
          <t>The Reya — D2 project facts (client sheet)</t>
        </is>
      </c>
    </row>
    <row r="24">
      <c r="A24" s="36" t="n">
        <v>23</v>
      </c>
      <c r="B24" s="37" t="inlineStr">
        <is>
          <t>Padang Residences</t>
        </is>
      </c>
      <c r="C24" s="38" t="inlineStr">
        <is>
          <t>PASS</t>
        </is>
      </c>
      <c r="D24" s="25" t="inlineStr">
        <is>
          <t>MRCB &amp; TH Properties</t>
        </is>
      </c>
      <c r="E24" s="25" t="inlineStr">
        <is>
          <t>* Developer: MRCB &amp; TH Properties [KB:UkphwtjVxtx8lvNFgzJd]</t>
        </is>
      </c>
      <c r="F24" s="25" t="inlineStr">
        <is>
          <t>Padang Residences — D2 project facts (client sheet)</t>
        </is>
      </c>
    </row>
    <row r="25">
      <c r="A25" s="36" t="n">
        <v>24</v>
      </c>
      <c r="B25" s="37" t="inlineStr">
        <is>
          <t>Tangen Residences</t>
        </is>
      </c>
      <c r="C25" s="38" t="inlineStr">
        <is>
          <t>PASS</t>
        </is>
      </c>
      <c r="D25" s="25" t="inlineStr">
        <is>
          <t>Angkasa Armada Sdn Bhd (subsidiary of Eng Han Group)</t>
        </is>
      </c>
      <c r="E25" s="25" t="inlineStr">
        <is>
          <t>- Developer: Angkasa Armada Sdn Bhd (subsidiary of Eng Han Group) [KB:3YsZNngOucdNpTOTKnxE]</t>
        </is>
      </c>
      <c r="F25" s="25" t="inlineStr">
        <is>
          <t>WhatsApp — Tangen Residences</t>
        </is>
      </c>
    </row>
    <row r="26">
      <c r="A26" s="36" t="n">
        <v>25</v>
      </c>
      <c r="B26" s="37" t="inlineStr">
        <is>
          <t>Miranda Hill @ north kiara by BRDB</t>
        </is>
      </c>
      <c r="C26" s="38" t="inlineStr">
        <is>
          <t>PASS</t>
        </is>
      </c>
      <c r="D26" s="25" t="inlineStr">
        <is>
          <t>Freedom Estates Sdn Bhd (part of BRDB Group — developer of BSC Mall &amp; One Menerung)</t>
        </is>
      </c>
      <c r="E26" s="25" t="inlineStr">
        <is>
          <t>* Developer: Freedom Estates Sdn Bhd (part of BRDB Group) [KB:cdV2XwcdMEqhhhxthQRZ, KB:msaaQ1RuJJn2CSPEwDzB]</t>
        </is>
      </c>
      <c r="F26" s="25" t="inlineStr">
        <is>
          <t>Miranda Hill @ north kiara by BRDB — D2 project facts (client sheet) | Miranda Hill @ north kiara by BRDB — 2025 Miranda Hill Sales Kit.pdf</t>
        </is>
      </c>
    </row>
    <row r="27">
      <c r="A27" s="36" t="n">
        <v>26</v>
      </c>
      <c r="B27" s="37" t="inlineStr">
        <is>
          <t>Alstonia Hilltop Homes</t>
        </is>
      </c>
      <c r="C27" s="38" t="inlineStr">
        <is>
          <t>PASS</t>
        </is>
      </c>
      <c r="D27" s="25" t="inlineStr">
        <is>
          <t>MRCB (Master Developer of KL Sentral; completed 19 corporate towers, 4 hotels, 4 residences &amp; 1 shopping mall)</t>
        </is>
      </c>
      <c r="E27" s="25" t="inlineStr">
        <is>
          <t>- Developer: Pinnacle Paradise Sdn Bhd (subsidiary of MRCB Land / MRCB) [KB:rQ8JQ7OQlQS5yULaUlj1, KB:DkEf8TbYIS4s9ZC6CSDO]</t>
        </is>
      </c>
      <c r="F27" s="25" t="inlineStr">
        <is>
          <t>Alstonia Hilltop Homes — KL-ALSTONIA HILLTOP HOMES Sales Kit (decompressed)final-1.pdf | Alstonia Hilltop Homes — D2 project facts (client sheet)</t>
        </is>
      </c>
    </row>
    <row r="28">
      <c r="A28" s="36" t="n">
        <v>27</v>
      </c>
      <c r="B28" s="37" t="inlineStr">
        <is>
          <t>Binastra Cochrane</t>
        </is>
      </c>
      <c r="C28" s="32" t="inlineStr">
        <is>
          <t>—</t>
        </is>
      </c>
      <c r="D28" s="25" t="inlineStr">
        <is>
          <t>—</t>
        </is>
      </c>
      <c r="E28" s="25" t="inlineStr">
        <is>
          <t>—</t>
        </is>
      </c>
      <c r="F28" s="25" t="inlineStr">
        <is>
          <t>—</t>
        </is>
      </c>
    </row>
    <row r="29">
      <c r="A29" s="36" t="n">
        <v>28</v>
      </c>
      <c r="B29" s="37" t="inlineStr">
        <is>
          <t>Eden BRDB, Taman Duta</t>
        </is>
      </c>
      <c r="C29" s="38" t="inlineStr">
        <is>
          <t>PASS</t>
        </is>
      </c>
      <c r="D29" s="25" t="inlineStr">
        <is>
          <t>BRDB</t>
        </is>
      </c>
      <c r="E29" s="25" t="inlineStr">
        <is>
          <t>- Developer: BRDB [KB:9tab2Vy32EQUQzxB3GGt]</t>
        </is>
      </c>
      <c r="F29" s="25" t="inlineStr">
        <is>
          <t>Eden BRDB, Taman Duta — D2 project facts (client sheet)</t>
        </is>
      </c>
    </row>
    <row r="30">
      <c r="A30" s="36" t="n">
        <v>29</v>
      </c>
      <c r="B30" s="37" t="inlineStr">
        <is>
          <t>Majestic @ Kiara Reserve</t>
        </is>
      </c>
      <c r="C30" s="41" t="inlineStr">
        <is>
          <t>CONFLICT</t>
        </is>
      </c>
      <c r="D30" s="25" t="inlineStr">
        <is>
          <t>Excellent Bonanza Sdn Bhd (under GSH Corporation, SGX-listed)</t>
        </is>
      </c>
      <c r="E30" s="25" t="inlineStr">
        <is>
          <t>- Developer: Excellent Bonanza Sdn Bhd (under GSH Corporation, SGX-listed) [KB:ulZttJH8RBdnrnkSfeCc]</t>
        </is>
      </c>
      <c r="F30" s="25" t="inlineStr">
        <is>
          <t>Majestic @ Kiara Reserve — D2 project facts (client sheet)</t>
        </is>
      </c>
    </row>
    <row r="31">
      <c r="A31" s="36" t="n">
        <v>30</v>
      </c>
      <c r="B31" s="37" t="inlineStr">
        <is>
          <t>St. Regis Residences Kuala Lumpur</t>
        </is>
      </c>
      <c r="C31" s="41" t="inlineStr">
        <is>
          <t>CONFLICT</t>
        </is>
      </c>
      <c r="D31" s="25" t="inlineStr">
        <is>
          <t>UOA Development Bhd (Master Developer of Bangsar South)</t>
        </is>
      </c>
      <c r="E31" s="25" t="inlineStr">
        <is>
          <t>- Developer: Excellent Bonanza Sdn Bhd (under GSH Corporation) / UOA Development Bhd [KB:uuV6C249TylzjKr25it3]</t>
        </is>
      </c>
      <c r="F31" s="25" t="inlineStr">
        <is>
          <t>St. Regis Residences Kuala Lumpur — D2 project facts (client sheet)</t>
        </is>
      </c>
    </row>
    <row r="32">
      <c r="A32" s="36" t="n">
        <v>31</v>
      </c>
      <c r="B32" s="37" t="inlineStr">
        <is>
          <t>Aster Hill Sri Petaling</t>
        </is>
      </c>
      <c r="C32" s="41" t="inlineStr">
        <is>
          <t>CONFLICT</t>
        </is>
      </c>
      <c r="D32" s="25" t="inlineStr">
        <is>
          <t>SCP</t>
        </is>
      </c>
      <c r="E32" s="25" t="inlineStr">
        <is>
          <t>- Developer: UOA Development Bhd (Master Developer of Bangsar South) [KB:3ftGruUWUzeOeON8fh6p]</t>
        </is>
      </c>
      <c r="F32" s="25" t="inlineStr">
        <is>
          <t>WhatsApp — Aster Hill Sri Petaling</t>
        </is>
      </c>
    </row>
    <row r="33">
      <c r="A33" s="36" t="n">
        <v>32</v>
      </c>
      <c r="B33" s="37" t="inlineStr">
        <is>
          <t>Exsim Project</t>
        </is>
      </c>
      <c r="C33" s="35" t="inlineStr">
        <is>
          <t>NO SOURCE</t>
        </is>
      </c>
      <c r="D33" s="25" t="inlineStr">
        <is>
          <t>—</t>
        </is>
      </c>
      <c r="E33" s="25" t="inlineStr">
        <is>
          <t>- Developer: Konsortium Exsim Development Sdn Bhd (member of EXSIM Group) [KB:Xo1oOSQ6mlEcaVszHou3]</t>
        </is>
      </c>
      <c r="F33" s="25" t="inlineStr">
        <is>
          <t>Exsim Project — D_Ivo-Info Kit.pdf</t>
        </is>
      </c>
    </row>
    <row r="34">
      <c r="A34" s="36" t="n">
        <v>33</v>
      </c>
      <c r="B34" s="37" t="inlineStr">
        <is>
          <t>Kensho @ Taman Desa</t>
        </is>
      </c>
      <c r="C34" s="38" t="inlineStr">
        <is>
          <t>PASS</t>
        </is>
      </c>
      <c r="D34" s="25" t="inlineStr">
        <is>
          <t>Regal Path Sdn Bhd (a subsidiary of Malton Berhad)</t>
        </is>
      </c>
      <c r="E34" s="25" t="inlineStr">
        <is>
          <t>- Developer: Regal Path Sdn Bhd (a subsidiary of Malton Berhad) [KB:kSTSW13s2tkD7aTAaCaU] / SCP</t>
        </is>
      </c>
      <c r="F34" s="25" t="inlineStr">
        <is>
          <t>Kensho @ Taman Desa — D2 project facts (client sheet)</t>
        </is>
      </c>
    </row>
    <row r="35">
      <c r="A35" s="36" t="n">
        <v>34</v>
      </c>
      <c r="B35" s="37" t="inlineStr">
        <is>
          <t>Aetas Taman Desa</t>
        </is>
      </c>
      <c r="C35" s="38" t="inlineStr">
        <is>
          <t>PASS</t>
        </is>
      </c>
      <c r="D35" s="25" t="inlineStr">
        <is>
          <t>Berjaya Hartanah Berhad</t>
        </is>
      </c>
      <c r="E35" s="25" t="inlineStr">
        <is>
          <t>* Developer: Berjaya Hartanah Berhad [KB:s3RdfXq6cuaTs3ImYJS3].</t>
        </is>
      </c>
      <c r="F35" s="25" t="inlineStr">
        <is>
          <t>Aetas Taman Desa — D2 project facts (client sheet)</t>
        </is>
      </c>
    </row>
    <row r="36">
      <c r="A36" s="36" t="n">
        <v>35</v>
      </c>
      <c r="B36" s="37" t="inlineStr">
        <is>
          <t>Southpoint Residences (IGB )</t>
        </is>
      </c>
      <c r="C36" s="38" t="inlineStr">
        <is>
          <t>PASS</t>
        </is>
      </c>
      <c r="D36" s="25" t="inlineStr">
        <is>
          <t>MVCSP Sdn Bhd (a subsidiary of IGB Group)</t>
        </is>
      </c>
      <c r="E36" s="25" t="inlineStr">
        <is>
          <t>- Developer: MVCSP Sdn Bhd (a subsidiary of IGB Group) [KB:y18Gd4UFTe1XPdrCupEZ]</t>
        </is>
      </c>
      <c r="F36" s="25" t="inlineStr">
        <is>
          <t>Southpoint Residences (IGB ) — D2 project facts (client sheet)</t>
        </is>
      </c>
    </row>
    <row r="37">
      <c r="A37" s="36" t="n">
        <v>36</v>
      </c>
      <c r="B37" s="37" t="inlineStr">
        <is>
          <t>Park Green at Pavilion Bukit Jalil</t>
        </is>
      </c>
      <c r="C37" s="38" t="inlineStr">
        <is>
          <t>PASS</t>
        </is>
      </c>
      <c r="D37" s="25" t="inlineStr">
        <is>
          <t>Regal Path Sdn Bhd (a subsidiary of Malton Berhad)</t>
        </is>
      </c>
      <c r="E37" s="25" t="inlineStr">
        <is>
          <t>- Developer: Regal Path Sdn Bhd (a subsidiary of Malton Berhad) [KB:31Yf7ZiVhnSC7pwYZEMQ]</t>
        </is>
      </c>
      <c r="F37" s="25" t="inlineStr">
        <is>
          <t>Park Green at Pavilion Bukit Jalil — D2 project facts (client sheet)</t>
        </is>
      </c>
    </row>
    <row r="38">
      <c r="A38" s="36" t="n">
        <v>37</v>
      </c>
      <c r="B38" s="37" t="inlineStr">
        <is>
          <t>OAKA Residences, Bukit Jalil</t>
        </is>
      </c>
      <c r="C38" s="38" t="inlineStr">
        <is>
          <t>PASS</t>
        </is>
      </c>
      <c r="D38" s="25" t="inlineStr">
        <is>
          <t>Berjaya Hartanah Berhad</t>
        </is>
      </c>
      <c r="E38" s="25" t="inlineStr">
        <is>
          <t>- Developer: Berjaya Hartanah Berhad [KB:1CC5O0bZQntqFom3zMzB]</t>
        </is>
      </c>
      <c r="F38" s="25" t="inlineStr">
        <is>
          <t>OAKA Residences, Bukit Jalil — D2 project facts (client sheet)</t>
        </is>
      </c>
    </row>
    <row r="39">
      <c r="A39" s="36" t="n">
        <v>38</v>
      </c>
      <c r="B39" s="37" t="inlineStr">
        <is>
          <t>Senja The Jewel Collection</t>
        </is>
      </c>
      <c r="C39" s="41" t="inlineStr">
        <is>
          <t>CONFLICT</t>
        </is>
      </c>
      <c r="D39" s="25" t="inlineStr">
        <is>
          <t>CCCG joint-venture with WCT</t>
        </is>
      </c>
      <c r="E39" s="25" t="inlineStr">
        <is>
          <t>* Developer: BRDB (designed by GDP Architect) [KB:KvQcdjB14HtRIuR0N8WP]</t>
        </is>
      </c>
      <c r="F39" s="25" t="inlineStr">
        <is>
          <t>WhatsApp — Senja The Jewel Collection</t>
        </is>
      </c>
    </row>
    <row r="40">
      <c r="A40" s="36" t="n">
        <v>39</v>
      </c>
      <c r="B40" s="37" t="inlineStr">
        <is>
          <t>18 Madge Uthant</t>
        </is>
      </c>
      <c r="C40" s="41" t="inlineStr">
        <is>
          <t>CONFLICT</t>
        </is>
      </c>
      <c r="D40" s="25" t="inlineStr">
        <is>
          <t>Chin Hin (Top 10 Developer, public listed — one-stop solution from building materials to furnishing)</t>
        </is>
      </c>
      <c r="E40" s="25" t="inlineStr">
        <is>
          <t>* Developer: Goodpark Development Sdn Bhd (subsidiary of KSL Holdings Bhd) [KB:SDu5ub4q7C4oTEhfHcHB] / Chin Hin [KB:e5Yz5WqO18NYwpanbpov]</t>
        </is>
      </c>
      <c r="F40" s="25" t="inlineStr">
        <is>
          <t>WhatsApp — 18 Madge Uthant | 18 Madge Uthant — D2 project facts (client sheet)</t>
        </is>
      </c>
    </row>
    <row r="41">
      <c r="A41" s="36" t="n">
        <v>40</v>
      </c>
      <c r="B41" s="37" t="inlineStr">
        <is>
          <t>Aria Luxury Residence @ KLCC</t>
        </is>
      </c>
      <c r="C41" s="39" t="inlineStr">
        <is>
          <t>NOT STATED</t>
        </is>
      </c>
      <c r="D41" s="25" t="inlineStr">
        <is>
          <t>City View Ventures Sdn Bhd / (A subsidiary of GSH Corporation Ltd – listed on the Singapore Exchange)</t>
        </is>
      </c>
      <c r="E41" s="25" t="inlineStr">
        <is>
          <t>- Developer: Not on record</t>
        </is>
      </c>
      <c r="F41" s="25" t="inlineStr">
        <is>
          <t>—</t>
        </is>
      </c>
    </row>
    <row r="42">
      <c r="A42" s="36" t="n">
        <v>41</v>
      </c>
      <c r="B42" s="37" t="inlineStr">
        <is>
          <t>AT6 Residensi @ Ampang Tengah</t>
        </is>
      </c>
      <c r="C42" s="41" t="inlineStr">
        <is>
          <t>CONFLICT</t>
        </is>
      </c>
      <c r="D42" s="25" t="inlineStr">
        <is>
          <t>Platinum Victory Suites</t>
        </is>
      </c>
      <c r="E42" s="25" t="inlineStr">
        <is>
          <t>* Developer: Boulevard Realty Sdn. Bhd. [KB:mcoti2Y2RdORYTeaUI5J] / Platinum Victory Suites [KB:iMlcSLGk62EMOdqN2Gfv]</t>
        </is>
      </c>
      <c r="F42" s="25" t="inlineStr">
        <is>
          <t>WhatsApp — AT6 Residensi @ Ampang Tengah | AT6 Residensi @ Ampang Tengah — D2 project facts (client sheet)</t>
        </is>
      </c>
    </row>
    <row r="43">
      <c r="A43" s="36" t="n">
        <v>42</v>
      </c>
      <c r="B43" s="37" t="inlineStr">
        <is>
          <t>Clouthaus KLCC</t>
        </is>
      </c>
      <c r="C43" s="41" t="inlineStr">
        <is>
          <t>CONFLICT</t>
        </is>
      </c>
      <c r="D43" s="25" t="inlineStr">
        <is>
          <t>Armani Hallson KLCC Sdn Bhd</t>
        </is>
      </c>
      <c r="E43" s="25" t="inlineStr">
        <is>
          <t>- Developer: TA Global [KB:sBrqIGsLH6kceBk3iRCS]</t>
        </is>
      </c>
      <c r="F43" s="25" t="inlineStr">
        <is>
          <t>WhatsApp — Clouthaus KLCC</t>
        </is>
      </c>
    </row>
    <row r="44">
      <c r="A44" s="36" t="n">
        <v>43</v>
      </c>
      <c r="B44" s="37" t="inlineStr">
        <is>
          <t>Conlay by E&amp;O</t>
        </is>
      </c>
      <c r="C44" s="41" t="inlineStr">
        <is>
          <t>CONFLICT</t>
        </is>
      </c>
      <c r="D44" s="25" t="inlineStr">
        <is>
          <t>Orion Tower Sdn. Bhd</t>
        </is>
      </c>
      <c r="E44" s="25" t="inlineStr">
        <is>
          <t>- Developer: Patsawan Properties Sdn. Bhd. / Orion Tower Sdn. Bhd. (Joint venture between Eastern &amp; Oriental Berhad and Mitsui Fudosan Group) [KB:56DmBKa1RdExB0Vt3uvg] [KB:GGaWlWF1BgiDFd588Wu7]</t>
        </is>
      </c>
      <c r="F44" s="25" t="inlineStr">
        <is>
          <t>Conlay by E&amp;O — D2 project facts (client sheet) | Conlay by E&amp;O — Conlay_Fact Sheet 25Nov19.pdf</t>
        </is>
      </c>
    </row>
    <row r="45">
      <c r="A45" s="36" t="n">
        <v>44</v>
      </c>
      <c r="B45" s="37" t="inlineStr">
        <is>
          <t>Core Residence @ TRX</t>
        </is>
      </c>
      <c r="C45" s="41" t="inlineStr">
        <is>
          <t>CONFLICT</t>
        </is>
      </c>
      <c r="D45" s="25" t="inlineStr">
        <is>
          <t>Armani Hartajaya Sdn Bhd under Pavilion Group (developer of Pavilion KL Mall)</t>
        </is>
      </c>
      <c r="E45" s="25" t="inlineStr">
        <is>
          <t>- Developer: CCCG joint-venture with WCT / Armani Hartajaya Sdn Bhd under Pavilion Group [KB:BvEOSI2qEJ4oyoNJZe52]</t>
        </is>
      </c>
      <c r="F45" s="25" t="inlineStr">
        <is>
          <t>Core Residence @ TRX — D2 project facts (client sheet)</t>
        </is>
      </c>
    </row>
    <row r="46">
      <c r="A46" s="36" t="n">
        <v>45</v>
      </c>
      <c r="B46" s="37" t="inlineStr">
        <is>
          <t>Dawn KLCC</t>
        </is>
      </c>
      <c r="C46" s="41" t="inlineStr">
        <is>
          <t>CONFLICT</t>
        </is>
      </c>
      <c r="D46" s="25" t="inlineStr">
        <is>
          <t>BSG Group (Top 3 Developer in Penang; completed 10 Stonor KLCC)</t>
        </is>
      </c>
      <c r="E46" s="25" t="inlineStr">
        <is>
          <t>* Developer: Dawn Land Sdn Bhd (Affiliate of Chin Hin Group Property Berhad) [KB:sAEwPtmvaST2Tg4QHrKf]</t>
        </is>
      </c>
      <c r="F46" s="25" t="inlineStr">
        <is>
          <t>Dawn KLCC — DAWN FAQ_sales.pdf</t>
        </is>
      </c>
    </row>
    <row r="47">
      <c r="A47" s="36" t="n">
        <v>46</v>
      </c>
      <c r="B47" s="37" t="inlineStr">
        <is>
          <t>Eaton Residences by Sutera @ KLCC</t>
        </is>
      </c>
      <c r="C47" s="41" t="inlineStr">
        <is>
          <t>CONFLICT</t>
        </is>
      </c>
      <c r="D47" s="25" t="inlineStr">
        <is>
          <t>DAC Development / Intan Sekitar Sdn Bhd (Crest Builder Berhad)</t>
        </is>
      </c>
      <c r="E47" s="25" t="inlineStr">
        <is>
          <t>* Developer: City View Ventures Sdn Bhd (a subsidiary of GSH Corporation Ltd – listed on SGX) / DAC Development [KB:cde5ArGy9wCRzO1C6wa2] [KB:5kzs25f16RvEC9IZSzMx]</t>
        </is>
      </c>
      <c r="F47" s="25" t="inlineStr">
        <is>
          <t>Eaton Residences by Sutera @ KLCC — D2 project facts (client sheet) | WhatsApp — Eaton Residences by Sutera @ KLCC</t>
        </is>
      </c>
    </row>
    <row r="48">
      <c r="A48" s="36" t="n">
        <v>47</v>
      </c>
      <c r="B48" s="37" t="inlineStr">
        <is>
          <t>Platinum Face Suite 2 KLCC</t>
        </is>
      </c>
      <c r="C48" s="41" t="inlineStr">
        <is>
          <t>CONFLICT</t>
        </is>
      </c>
      <c r="D48" s="25" t="inlineStr">
        <is>
          <t>Andarama SB under Quill group of companies (Completed 20 corporate offices, distributor of BMW &amp; Rolls Royce Msia.)</t>
        </is>
      </c>
      <c r="E48" s="25" t="inlineStr">
        <is>
          <t>- Developer: Andarama SB under Quill group of companies / Platinum Victory Suites [KB:s6Cq9o9dg427IbJCmEW6]</t>
        </is>
      </c>
      <c r="F48" s="25" t="inlineStr">
        <is>
          <t>Platinum Face Suite 2 KLCC — D2 project facts (client sheet)</t>
        </is>
      </c>
    </row>
    <row r="49">
      <c r="A49" s="36" t="n">
        <v>48</v>
      </c>
      <c r="B49" s="37" t="inlineStr">
        <is>
          <t>Armani Hallson @ Jalan Ampang</t>
        </is>
      </c>
      <c r="C49" s="41" t="inlineStr">
        <is>
          <t>CONFLICT</t>
        </is>
      </c>
      <c r="D49" s="25" t="inlineStr">
        <is>
          <t>KL Metro Group</t>
        </is>
      </c>
      <c r="E49" s="25" t="inlineStr">
        <is>
          <t>- Developer: Armani Hallson KLCC Sdn Bhd / KL Metro Group [KB:VeqOCBmCFSVa3TlWqzMC], [KB:3icJesyZ6yHkdtOR5nbo]</t>
        </is>
      </c>
      <c r="F49" s="25" t="inlineStr">
        <is>
          <t>Armani Hallson @ Jalan Ampang — D2 project facts (client sheet) | Armani Hallson @ Jalan Ampang — Armani_Hallson_KLCC_sales kit.pdf</t>
        </is>
      </c>
    </row>
    <row r="50">
      <c r="A50" s="36" t="n">
        <v>49</v>
      </c>
      <c r="B50" s="37" t="inlineStr">
        <is>
          <t>Orion Residence</t>
        </is>
      </c>
      <c r="C50" s="41" t="inlineStr">
        <is>
          <t>CONFLICT</t>
        </is>
      </c>
      <c r="D50" s="25" t="inlineStr">
        <is>
          <t>Oxley Holding (Listed &amp; largest landbank developer in Singapore)</t>
        </is>
      </c>
      <c r="E50" s="25" t="inlineStr">
        <is>
          <t>- Developer: Orion Tower Sdn. Bhd</t>
        </is>
      </c>
      <c r="F50" s="25" t="inlineStr">
        <is>
          <t>—</t>
        </is>
      </c>
    </row>
    <row r="51">
      <c r="A51" s="36" t="n">
        <v>50</v>
      </c>
      <c r="B51" s="37" t="inlineStr">
        <is>
          <t>PSQ Pavilion Square</t>
        </is>
      </c>
      <c r="C51" s="38" t="inlineStr">
        <is>
          <t>PASS</t>
        </is>
      </c>
      <c r="D51" s="25" t="inlineStr">
        <is>
          <t>Hartamaju Sdn Bhd / (a subsidiary of Wing Tai Malaysia Sdn Bhd)</t>
        </is>
      </c>
      <c r="E51" s="25" t="inlineStr">
        <is>
          <t>- Developer: Armani Hartajaya Sdn Bhd under Pavilion Group / Hartamaju Sdn Bhd (subsidiary of Wing Tai Malaysia Sdn Bhd) [KB:6vGV2DMNKFrSCPVFfEoK]</t>
        </is>
      </c>
      <c r="F51" s="25" t="inlineStr">
        <is>
          <t>PSQ Pavilion Square — D2 project facts (client sheet)</t>
        </is>
      </c>
    </row>
    <row r="52">
      <c r="A52" s="36" t="n">
        <v>51</v>
      </c>
      <c r="B52" s="37" t="inlineStr">
        <is>
          <t>Katana 2 Residence</t>
        </is>
      </c>
      <c r="C52" s="38" t="inlineStr">
        <is>
          <t>PASS</t>
        </is>
      </c>
      <c r="D52" s="25" t="inlineStr">
        <is>
          <t>UM Land Bhd &amp; Symphony Life Bhd</t>
        </is>
      </c>
      <c r="E52" s="25" t="inlineStr">
        <is>
          <t>- Developer: BSG Group / UM Land Bhd &amp; Symphony Life Bhd [KB:7K6g7megCnLfz8eBqvLn]</t>
        </is>
      </c>
      <c r="F52" s="25" t="inlineStr">
        <is>
          <t>Katana 2 Residence — D2 project facts (client sheet)</t>
        </is>
      </c>
    </row>
    <row r="53">
      <c r="A53" s="36" t="n">
        <v>52</v>
      </c>
      <c r="B53" s="37" t="inlineStr">
        <is>
          <t>The Centrix</t>
        </is>
      </c>
      <c r="C53" s="38" t="inlineStr">
        <is>
          <t>PASS</t>
        </is>
      </c>
      <c r="D53" s="25" t="inlineStr">
        <is>
          <t>Multibay Development Sdn Bhd (subsidiary of Golden Eagle Group)</t>
        </is>
      </c>
      <c r="E53" s="25" t="inlineStr">
        <is>
          <t>- Developer: DAC Development / Intan Sekitar Sdn Bhd (Crest Builder Berhad) / Multibay Development Sdn Bhd (subsidiary of Golden Eagle Group) [KB:TII70fkIrxauDrED7Dvs]</t>
        </is>
      </c>
      <c r="F53" s="25" t="inlineStr">
        <is>
          <t>The Centrix — D2 project facts (client sheet)</t>
        </is>
      </c>
    </row>
    <row r="54">
      <c r="A54" s="36" t="n">
        <v>53</v>
      </c>
      <c r="B54" s="37" t="inlineStr">
        <is>
          <t>Quill Residences KLCC</t>
        </is>
      </c>
      <c r="C54" s="41" t="inlineStr">
        <is>
          <t>CONFLICT</t>
        </is>
      </c>
      <c r="D54" s="25" t="inlineStr">
        <is>
          <t>BBCC Development Sdn Bhd / (A JV between UDA Holdings, EcoWorld, and EPF)</t>
        </is>
      </c>
      <c r="E54" s="25" t="inlineStr">
        <is>
          <t>- Developer: Andarama Sdn Bhd under Quill Group of Companies [KB:UVxPQbugESP6jzWhE2j6]</t>
        </is>
      </c>
      <c r="F54" s="25" t="inlineStr">
        <is>
          <t>WhatsApp — Quill Residences KLCC</t>
        </is>
      </c>
    </row>
    <row r="55">
      <c r="A55" s="36" t="n">
        <v>54</v>
      </c>
      <c r="B55" s="37" t="inlineStr">
        <is>
          <t>Royal Lexis KL</t>
        </is>
      </c>
      <c r="C55" s="38" t="inlineStr">
        <is>
          <t>PASS</t>
        </is>
      </c>
      <c r="D55" s="25" t="inlineStr">
        <is>
          <t>KL Metro Group</t>
        </is>
      </c>
      <c r="E55" s="25" t="inlineStr">
        <is>
          <t>- Developer: KL Metro Group [KB:JbBcn2BNu1XQPlmfEzYr]</t>
        </is>
      </c>
      <c r="F55" s="25" t="inlineStr">
        <is>
          <t>Royal Lexis KL — D2 project facts (client sheet)</t>
        </is>
      </c>
    </row>
    <row r="56">
      <c r="A56" s="36" t="n">
        <v>55</v>
      </c>
      <c r="B56" s="37" t="inlineStr">
        <is>
          <t>SO Sofitel Residences KLCC</t>
        </is>
      </c>
      <c r="C56" s="38" t="inlineStr">
        <is>
          <t>PASS</t>
        </is>
      </c>
      <c r="D56" s="25" t="inlineStr">
        <is>
          <t>Oxley Holding (Listed &amp; largest landbank developer in Singapore)</t>
        </is>
      </c>
      <c r="E56" s="25" t="inlineStr">
        <is>
          <t>- Developer: Oxley Holding (Listed &amp; largest landbank developer in Singapore) [KB:KqagZI05xis2InM9IBuA]</t>
        </is>
      </c>
      <c r="F56" s="25" t="inlineStr">
        <is>
          <t>SO Sofitel Residences KLCC — D2 project facts (client sheet)</t>
        </is>
      </c>
    </row>
    <row r="57">
      <c r="A57" s="36" t="n">
        <v>56</v>
      </c>
      <c r="B57" s="37" t="inlineStr">
        <is>
          <t>Le Nouvel KLCC</t>
        </is>
      </c>
      <c r="C57" s="35" t="inlineStr">
        <is>
          <t>NO SOURCE</t>
        </is>
      </c>
      <c r="D57" s="25" t="inlineStr">
        <is>
          <t>—</t>
        </is>
      </c>
      <c r="E57" s="25" t="inlineStr">
        <is>
          <t>- Developer: Hartamaju Sdn Bhd (a subsidiary of Wing Tai Malaysia Sdn Bhd) [KB:fC4XTilPWrOTBNnwJ5Af]</t>
        </is>
      </c>
      <c r="F57" s="25" t="inlineStr">
        <is>
          <t>Le Nouvel KLCC — LNKLCC Factsheet final 3.4.25.pdf</t>
        </is>
      </c>
    </row>
    <row r="58">
      <c r="A58" s="36" t="n">
        <v>57</v>
      </c>
      <c r="B58" s="37" t="inlineStr">
        <is>
          <t>Star Residences KLCC</t>
        </is>
      </c>
      <c r="C58" s="35" t="inlineStr">
        <is>
          <t>NO SOURCE</t>
        </is>
      </c>
      <c r="D58" s="25" t="inlineStr">
        <is>
          <t>—</t>
        </is>
      </c>
      <c r="E58" s="25" t="inlineStr">
        <is>
          <t>* Developer: UM Land Bhd &amp; Symphony Life Bhd [KB:cShueljDqIU2kCdodr05]</t>
        </is>
      </c>
      <c r="F58" s="25" t="inlineStr">
        <is>
          <t>WhatsApp — Star Residences KLCC</t>
        </is>
      </c>
    </row>
    <row r="59">
      <c r="A59" s="36" t="n">
        <v>58</v>
      </c>
      <c r="B59" s="37" t="inlineStr">
        <is>
          <t>Jewel by Oxley KLCC</t>
        </is>
      </c>
      <c r="C59" s="32" t="inlineStr">
        <is>
          <t>—</t>
        </is>
      </c>
      <c r="D59" s="25" t="inlineStr">
        <is>
          <t>—</t>
        </is>
      </c>
      <c r="E59" s="25" t="inlineStr">
        <is>
          <t>- Developer: Not on record</t>
        </is>
      </c>
      <c r="F59" s="25" t="inlineStr">
        <is>
          <t>—</t>
        </is>
      </c>
    </row>
    <row r="60">
      <c r="A60" s="36" t="n">
        <v>59</v>
      </c>
      <c r="B60" s="37" t="inlineStr">
        <is>
          <t>Golden Crown Residence</t>
        </is>
      </c>
      <c r="C60" s="38" t="inlineStr">
        <is>
          <t>PASS</t>
        </is>
      </c>
      <c r="D60" s="25" t="inlineStr">
        <is>
          <t>Multibay Development Sdn Bhd (subsidiary of Golden Eagle Group)</t>
        </is>
      </c>
      <c r="E60" s="25" t="inlineStr">
        <is>
          <t>- Developer: Multibay Development Sdn Bhd (a subsidiary of Golden Eagle Group) [KB:I1AWH6hb8uG6yjHSQBEq]</t>
        </is>
      </c>
      <c r="F60" s="25" t="inlineStr">
        <is>
          <t>Golden Crown Residence — Golden Crown Residence Summary 23.10.2025.pdf</t>
        </is>
      </c>
    </row>
    <row r="61">
      <c r="A61" s="36" t="n">
        <v>60</v>
      </c>
      <c r="B61" s="37" t="inlineStr">
        <is>
          <t>SWNK Houze @ BBCC (Bukit Bintang City Centre)</t>
        </is>
      </c>
      <c r="C61" s="38" t="inlineStr">
        <is>
          <t>PASS</t>
        </is>
      </c>
      <c r="D61" s="25" t="inlineStr">
        <is>
          <t>BBCC Development Sdn Bhd / (A JV between UDA Holdings, EcoWorld, and EPF)</t>
        </is>
      </c>
      <c r="E61" s="25" t="inlineStr">
        <is>
          <t>* Developer: BBCC Development Sdn Bhd (Joint Venture between EcoWorld, EPF, and UDA Holdings) [KB:AD8xLLNrQLmRBC2cDBjb]</t>
        </is>
      </c>
      <c r="F61" s="25" t="inlineStr">
        <is>
          <t>WhatsApp — SWNK Houze @ BBCC (Bukit Bintang City Centre)</t>
        </is>
      </c>
    </row>
    <row r="62">
      <c r="A62" s="36" t="n">
        <v>61</v>
      </c>
      <c r="B62" s="37" t="inlineStr">
        <is>
          <t>Times Square 2 Residences Kuala Lumpur</t>
        </is>
      </c>
      <c r="C62" s="35" t="inlineStr">
        <is>
          <t>NO SOURCE</t>
        </is>
      </c>
      <c r="D62" s="25" t="inlineStr">
        <is>
          <t>—</t>
        </is>
      </c>
      <c r="E62" s="25" t="inlineStr">
        <is>
          <t>- Developer: Berjaya Group / Berjaya Properties [KB:JVcM6xWLFndLrIAbZspi, KB:YBf2XsCtI8e668lpXmvm]</t>
        </is>
      </c>
      <c r="F62" s="25" t="inlineStr">
        <is>
          <t>WhatsApp — Times Square 2 Residences Kuala Lumpur | WhatsApp — Times Square 2 Residences Kuala Lumpur</t>
        </is>
      </c>
    </row>
    <row r="63">
      <c r="A63" s="36" t="n">
        <v>62</v>
      </c>
      <c r="B63" s="37" t="inlineStr">
        <is>
          <t>The Manor KLCC</t>
        </is>
      </c>
      <c r="C63" s="38" t="inlineStr">
        <is>
          <t>PASS</t>
        </is>
      </c>
      <c r="D63" s="25" t="inlineStr">
        <is>
          <t>Desaria Property Sdn Bhd</t>
        </is>
      </c>
      <c r="E63" s="25" t="inlineStr">
        <is>
          <t>* Developer: Desaria Property Sdn Bhd [KB:oZZ1loSw39twdeHZlaJu]</t>
        </is>
      </c>
      <c r="F63" s="25" t="inlineStr">
        <is>
          <t>The Manor KLCC — D2 project facts (client sheet)</t>
        </is>
      </c>
    </row>
    <row r="64">
      <c r="A64" s="36" t="n">
        <v>63</v>
      </c>
      <c r="B64" s="37" t="inlineStr">
        <is>
          <t>TRX Residences</t>
        </is>
      </c>
      <c r="C64" s="35" t="inlineStr">
        <is>
          <t>NO SOURCE</t>
        </is>
      </c>
      <c r="D64" s="25" t="inlineStr">
        <is>
          <t>—</t>
        </is>
      </c>
      <c r="E64" s="25" t="inlineStr">
        <is>
          <t>- Developer: Lendlease [KB:USdhBw2TdwgZ7kn7RCLT]</t>
        </is>
      </c>
      <c r="F64" s="25" t="inlineStr">
        <is>
          <t>TRX Residences — Quick Fact.docx</t>
        </is>
      </c>
    </row>
    <row r="65">
      <c r="A65" s="36" t="n">
        <v>64</v>
      </c>
      <c r="B65" s="37" t="inlineStr">
        <is>
          <t>The Oval Kuala Lumpur</t>
        </is>
      </c>
      <c r="C65" s="38" t="inlineStr">
        <is>
          <t>PASS</t>
        </is>
      </c>
      <c r="D65" s="25" t="inlineStr">
        <is>
          <t>Oval Suites Sdn Bhd</t>
        </is>
      </c>
      <c r="E65" s="25" t="inlineStr">
        <is>
          <t>- Developer: Oval Suites Sdn Bhd / Titan Debut Sdn Bhd (Subsidiary of GuocoLand Malaysia Berhad) [KB:peLRfTL2CUF0OZ7nuRNt]</t>
        </is>
      </c>
      <c r="F65" s="25" t="inlineStr">
        <is>
          <t>The Oval Kuala Lumpur — Oval Sales Kit Revised 2023.pdf</t>
        </is>
      </c>
    </row>
    <row r="66">
      <c r="A66" s="36" t="n">
        <v>65</v>
      </c>
      <c r="B66" s="37" t="inlineStr">
        <is>
          <t>The Ritz- Carlton Residences</t>
        </is>
      </c>
      <c r="C66" s="32" t="inlineStr">
        <is>
          <t>—</t>
        </is>
      </c>
      <c r="D66" s="25" t="inlineStr">
        <is>
          <t>—</t>
        </is>
      </c>
      <c r="E66" s="25" t="inlineStr">
        <is>
          <t>- Developer: Not on record</t>
        </is>
      </c>
      <c r="F66" s="25" t="inlineStr">
        <is>
          <t>—</t>
        </is>
      </c>
    </row>
    <row r="67">
      <c r="A67" s="36" t="n">
        <v>66</v>
      </c>
      <c r="B67" s="37" t="inlineStr">
        <is>
          <t>The Stride Office @ BBCC</t>
        </is>
      </c>
      <c r="C67" s="38" t="inlineStr">
        <is>
          <t>PASS</t>
        </is>
      </c>
      <c r="D67" s="25" t="inlineStr">
        <is>
          <t>BBCC Development Sdn Bhd / (JV between UDA Holdings, EcoWorld, and EPF)</t>
        </is>
      </c>
      <c r="E67" s="25" t="inlineStr">
        <is>
          <t>- Developer: BBCC Development Sdn Bhd (JV between UDA Holdings, EcoWorld, and EPF) [KB:T4MYH11fGH7gD25IzrJg]</t>
        </is>
      </c>
      <c r="F67" s="25" t="inlineStr">
        <is>
          <t>The Stride Office @ BBCC — D2 project facts (client sheet)</t>
        </is>
      </c>
    </row>
    <row r="68">
      <c r="A68" s="36" t="n">
        <v>67</v>
      </c>
      <c r="B68" s="37" t="inlineStr">
        <is>
          <t>Rimbun Saujana Residency</t>
        </is>
      </c>
      <c r="C68" s="38" t="inlineStr">
        <is>
          <t>PASS</t>
        </is>
      </c>
      <c r="D68" s="25" t="inlineStr">
        <is>
          <t>Saujana Development Sdn Bhd</t>
        </is>
      </c>
      <c r="E68" s="25" t="inlineStr">
        <is>
          <t>- Developer: Saujana Development Sdn Bhd [KB:eAxh96uFbWzHSnBR9ZEC], [KB:wQTTBN86MwYJlxvAdZpc]</t>
        </is>
      </c>
      <c r="F68" s="25" t="inlineStr">
        <is>
          <t>WhatsApp — Rimbun Saujana Residency | Rimbun Saujana Residency — D2 project facts (client sheet)</t>
        </is>
      </c>
    </row>
    <row r="69">
      <c r="A69" s="36" t="n">
        <v>68</v>
      </c>
      <c r="B69" s="37" t="inlineStr">
        <is>
          <t>Luminar Residence Subang by BRDB</t>
        </is>
      </c>
      <c r="C69" s="38" t="inlineStr">
        <is>
          <t>PASS</t>
        </is>
      </c>
      <c r="D69" s="25" t="inlineStr">
        <is>
          <t>BRDB (BSC, 111 Menerung, Miranda, etc.)</t>
        </is>
      </c>
      <c r="E69" s="25" t="inlineStr">
        <is>
          <t>* Developer: BRDB (BSC, One Menerung, 111 Menerung, Miranda Hill, Senja, etc.) [KB:QRd9cyypsHICbTvqWH0S], [KB:Jg44zhi5b2Fm2S2aMQXR]</t>
        </is>
      </c>
      <c r="F69" s="25" t="inlineStr">
        <is>
          <t>Luminar Residence Subang by BRDB — D2 project facts (client sheet) | WhatsApp — Luminar Residence Subang by BRDB</t>
        </is>
      </c>
    </row>
    <row r="70">
      <c r="A70" s="36" t="n">
        <v>69</v>
      </c>
      <c r="B70" s="37" t="inlineStr">
        <is>
          <t>Accent PJ</t>
        </is>
      </c>
      <c r="C70" s="38" t="inlineStr">
        <is>
          <t>PASS</t>
        </is>
      </c>
      <c r="D70" s="25" t="inlineStr">
        <is>
          <t>Avaland Berhad (Ayala Land Group)</t>
        </is>
      </c>
      <c r="E70" s="25" t="inlineStr">
        <is>
          <t>- Developer: Avaland Berhad (Ayala Land Group) [KB:ZcYLsou3Ovp58QwVXT71]</t>
        </is>
      </c>
      <c r="F70" s="25" t="inlineStr">
        <is>
          <t>WhatsApp — Accent PJ</t>
        </is>
      </c>
    </row>
    <row r="71">
      <c r="A71" s="36" t="n">
        <v>70</v>
      </c>
      <c r="B71" s="37" t="inlineStr">
        <is>
          <t>26 Araville PJ</t>
        </is>
      </c>
      <c r="C71" s="38" t="inlineStr">
        <is>
          <t>PASS</t>
        </is>
      </c>
      <c r="D71" s="25" t="inlineStr">
        <is>
          <t>Pujangga Budiman</t>
        </is>
      </c>
      <c r="E71" s="25" t="inlineStr">
        <is>
          <t>- Developer: Pujangga Budiman [KB:Zi3aq2Z9E7rllWFKUH1X, KB:tHP5FqNmvnvgXlfR5QcF]</t>
        </is>
      </c>
      <c r="F71" s="25" t="inlineStr">
        <is>
          <t>26 Araville PJ — D2 project facts (client sheet) | WhatsApp — 26 Araville PJ</t>
        </is>
      </c>
    </row>
    <row r="72">
      <c r="A72" s="36" t="n">
        <v>71</v>
      </c>
      <c r="B72" s="37" t="inlineStr">
        <is>
          <t>The Atera, PJ by Paramount Property</t>
        </is>
      </c>
      <c r="C72" s="38" t="inlineStr">
        <is>
          <t>PASS</t>
        </is>
      </c>
      <c r="D72" s="25" t="inlineStr">
        <is>
          <t>Paramount Properties (listed developer with 40+ years experience)</t>
        </is>
      </c>
      <c r="E72" s="25" t="inlineStr">
        <is>
          <t>- Developer: Paramount Properties [KB:NveeC35MLodRahgNhBKu]</t>
        </is>
      </c>
      <c r="F72" s="25" t="inlineStr">
        <is>
          <t>WhatsApp — The Atera, PJ by Paramount Property</t>
        </is>
      </c>
    </row>
    <row r="73">
      <c r="A73" s="36" t="n">
        <v>72</v>
      </c>
      <c r="B73" s="37" t="inlineStr">
        <is>
          <t>Anyara Hills</t>
        </is>
      </c>
      <c r="C73" s="38" t="inlineStr">
        <is>
          <t>PASS</t>
        </is>
      </c>
      <c r="D73" s="25" t="inlineStr">
        <is>
          <t>KHK Land</t>
        </is>
      </c>
      <c r="E73" s="25" t="inlineStr">
        <is>
          <t>* Developer: KHK Land [KB:lcoAvNQusTRmeGYoxghX]</t>
        </is>
      </c>
      <c r="F73" s="25" t="inlineStr">
        <is>
          <t>Anyara Hills — D2 project facts (client sheet)</t>
        </is>
      </c>
    </row>
    <row r="74">
      <c r="A74" s="36" t="n">
        <v>73</v>
      </c>
      <c r="B74" s="37" t="inlineStr">
        <is>
          <t>Yanu Hills @ Bon Estates</t>
        </is>
      </c>
      <c r="C74" s="35" t="inlineStr">
        <is>
          <t>NO SOURCE</t>
        </is>
      </c>
      <c r="D74" s="25" t="inlineStr">
        <is>
          <t>—</t>
        </is>
      </c>
      <c r="E74" s="25" t="inlineStr">
        <is>
          <t>- Developer: Bon Estates [KB:VmS6RYBIEEdnxFCef8Nf]</t>
        </is>
      </c>
      <c r="F74" s="25" t="inlineStr">
        <is>
          <t>Yanu Hills @ Bon Estates — Yanu Hills Saleskit.pdf</t>
        </is>
      </c>
    </row>
    <row r="75">
      <c r="A75" s="36" t="n">
        <v>74</v>
      </c>
      <c r="B75" s="37" t="inlineStr">
        <is>
          <t>Rafflesia @ Hill 4</t>
        </is>
      </c>
      <c r="C75" s="38" t="inlineStr">
        <is>
          <t>PASS</t>
        </is>
      </c>
      <c r="D75" s="25" t="inlineStr">
        <is>
          <t>MK Land</t>
        </is>
      </c>
      <c r="E75" s="25" t="inlineStr">
        <is>
          <t>- Developer: MK Land [KB:sGqAWBJMlNg2krpiXxKU]</t>
        </is>
      </c>
      <c r="F75" s="25" t="inlineStr">
        <is>
          <t>Rafflesia @ Hill 2, 3 &amp; 4 — D2 project facts (client sheet)</t>
        </is>
      </c>
    </row>
    <row r="76">
      <c r="A76" s="36" t="n">
        <v>75</v>
      </c>
      <c r="B76" s="37" t="inlineStr">
        <is>
          <t>DAYA Residence</t>
        </is>
      </c>
      <c r="C76" s="38" t="inlineStr">
        <is>
          <t>PASS</t>
        </is>
      </c>
      <c r="D76" s="25" t="inlineStr">
        <is>
          <t>TSR Development Sdn Bhd</t>
        </is>
      </c>
      <c r="E76" s="25" t="inlineStr">
        <is>
          <t>- Developer: TSR Development Sdn Bhd [KB:NvNuhXjB8zwwTwI8ndTU]</t>
        </is>
      </c>
      <c r="F76" s="25" t="inlineStr">
        <is>
          <t>DAYA Residence — D2 project facts (client sheet)</t>
        </is>
      </c>
    </row>
    <row r="77">
      <c r="A77" s="36" t="n">
        <v>76</v>
      </c>
      <c r="B77" s="37" t="inlineStr">
        <is>
          <t>Vila Setara Happy Garden</t>
        </is>
      </c>
      <c r="C77" s="38" t="inlineStr">
        <is>
          <t>PASS</t>
        </is>
      </c>
      <c r="D77" s="25" t="inlineStr">
        <is>
          <t>Pembangunan Jujur Sejiwa Sdn Bhd</t>
        </is>
      </c>
      <c r="E77" s="25" t="inlineStr">
        <is>
          <t>- Developer: Pembangunan Jujur Sejiwa Sdn. Bhd. [KB:JMIoloUmepsVseVLstzY] [KB:KvtyvN6kiK9m39xieRnG]</t>
        </is>
      </c>
      <c r="F77" s="25" t="inlineStr">
        <is>
          <t>WhatsApp — Vila Setara Happy Garden | Vila Setara Happy Garden — D2 project facts (client sheet)</t>
        </is>
      </c>
    </row>
    <row r="78">
      <c r="A78" s="36" t="n">
        <v>77</v>
      </c>
      <c r="B78" s="37" t="inlineStr">
        <is>
          <t>E&amp;O – City of Elmina (Laman Embun Commercial)</t>
        </is>
      </c>
      <c r="C78" s="38" t="inlineStr">
        <is>
          <t>PASS</t>
        </is>
      </c>
      <c r="D78" s="25" t="inlineStr">
        <is>
          <t>Eastern &amp; Oriental (E&amp;O)</t>
        </is>
      </c>
      <c r="E78" s="25" t="inlineStr">
        <is>
          <t>- Developer: Eastern &amp; Oriental (E&amp;O) [KB:yY7RDRIHI4QxSjWHga5p]</t>
        </is>
      </c>
      <c r="F78" s="25" t="inlineStr">
        <is>
          <t>E&amp;O – City of Elmina (Laman Embun Commercial) — D2 project facts (client sheet)</t>
        </is>
      </c>
    </row>
    <row r="79">
      <c r="A79" s="36" t="n">
        <v>78</v>
      </c>
      <c r="B79" s="37" t="inlineStr">
        <is>
          <t>Aspire office @ KL ecocity</t>
        </is>
      </c>
      <c r="C79" s="38" t="inlineStr">
        <is>
          <t>PASS</t>
        </is>
      </c>
      <c r="D79" s="25" t="inlineStr">
        <is>
          <t>S P Setia Berhad</t>
        </is>
      </c>
      <c r="E79" s="25" t="inlineStr">
        <is>
          <t>* Developer: S P Setia Berhad [KB:PE2YftVpHiB4sJvPqZmm]</t>
        </is>
      </c>
      <c r="F79" s="25" t="inlineStr">
        <is>
          <t>WhatsApp — Aspire office @ KL ecocity</t>
        </is>
      </c>
    </row>
    <row r="80">
      <c r="A80" s="36" t="n">
        <v>79</v>
      </c>
      <c r="B80" s="37" t="inlineStr">
        <is>
          <t>The MET, Corporate Tower</t>
        </is>
      </c>
      <c r="C80" s="38" t="inlineStr">
        <is>
          <t>PASS</t>
        </is>
      </c>
      <c r="D80" s="25" t="inlineStr">
        <is>
          <t>Triterra (Chairman: Datuk Seri Michael Yam)</t>
        </is>
      </c>
      <c r="E80" s="25" t="inlineStr">
        <is>
          <t>* Developer: Triterra (Triterra Metropolis Sdn Bhd) [KB:B4YOymtiSEJuUhzy8fFB]</t>
        </is>
      </c>
      <c r="F80" s="25" t="inlineStr">
        <is>
          <t>The MET, Corporate Tower — D2 project facts (client sheet)</t>
        </is>
      </c>
    </row>
    <row r="81">
      <c r="A81" s="36" t="n">
        <v>80</v>
      </c>
      <c r="B81" s="37" t="inlineStr">
        <is>
          <t>Sierra Hijau (Landed)</t>
        </is>
      </c>
      <c r="C81" s="38" t="inlineStr">
        <is>
          <t>PASS</t>
        </is>
      </c>
      <c r="D81" s="25" t="inlineStr">
        <is>
          <t>Sierra Ukay Sdn Bhd (subsidiary of IJM Berhad)</t>
        </is>
      </c>
      <c r="E81" s="25" t="inlineStr">
        <is>
          <t>- Developer: Sierra Ukay Sdn Bhd (subsidiary of IJM Berhad) [KB:mYNS6rnwTpiUMoNBSikk]</t>
        </is>
      </c>
      <c r="F81" s="25" t="inlineStr">
        <is>
          <t>Sierra Hijau (Landed) — D2 project facts (client sheet)</t>
        </is>
      </c>
    </row>
    <row r="82">
      <c r="A82" s="36" t="n">
        <v>81</v>
      </c>
      <c r="B82" s="37" t="inlineStr">
        <is>
          <t>Melbourne Square</t>
        </is>
      </c>
      <c r="C82" s="38" t="inlineStr">
        <is>
          <t>PASS</t>
        </is>
      </c>
      <c r="D82" s="25" t="inlineStr">
        <is>
          <t>OSK Property (JV with EPF)</t>
        </is>
      </c>
      <c r="E82" s="25" t="inlineStr">
        <is>
          <t>* Developer: OSK Property (JV with EPF) [KB:FdxUcl21jyRTmCZqmhzG]</t>
        </is>
      </c>
      <c r="F82" s="25" t="inlineStr">
        <is>
          <t>Melbourne Square — Aura Agent Brief 05032026.pdf</t>
        </is>
      </c>
    </row>
    <row r="83">
      <c r="A83" s="36" t="n">
        <v>82</v>
      </c>
      <c r="B83" s="37" t="inlineStr">
        <is>
          <t>Lagenda Tunku (Villa Gemilang)</t>
        </is>
      </c>
      <c r="C83" s="32" t="inlineStr">
        <is>
          <t>—</t>
        </is>
      </c>
      <c r="D83" s="25" t="inlineStr">
        <is>
          <t>—</t>
        </is>
      </c>
      <c r="E83" s="25" t="inlineStr">
        <is>
          <t>—</t>
        </is>
      </c>
      <c r="F83" s="25" t="inlineStr">
        <is>
          <t>—</t>
        </is>
      </c>
    </row>
    <row r="84">
      <c r="A84" s="36" t="n">
        <v>83</v>
      </c>
      <c r="B84" s="37" t="inlineStr">
        <is>
          <t>Ashbourne</t>
        </is>
      </c>
      <c r="C84" s="32" t="inlineStr">
        <is>
          <t>—</t>
        </is>
      </c>
      <c r="D84" s="25" t="inlineStr">
        <is>
          <t>—</t>
        </is>
      </c>
      <c r="E84" s="25" t="inlineStr">
        <is>
          <t>—</t>
        </is>
      </c>
      <c r="F84" s="2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8" customWidth="1" min="1" max="1"/>
    <col width="32" customWidth="1" min="2" max="2"/>
    <col width="9" customWidth="1" min="3" max="3"/>
    <col width="44" customWidth="1" min="4" max="4"/>
    <col width="120" customWidth="1" min="5" max="5"/>
  </cols>
  <sheetData>
    <row r="1">
      <c r="A1" s="18" t="inlineStr">
        <is>
          <t>ID</t>
        </is>
      </c>
      <c r="B1" s="18" t="inlineStr">
        <is>
          <t>Project / case</t>
        </is>
      </c>
      <c r="C1" s="18" t="inlineStr">
        <is>
          <t>Seconds</t>
        </is>
      </c>
      <c r="D1" s="18" t="inlineStr">
        <is>
          <t>Conversation ID</t>
        </is>
      </c>
      <c r="E1" s="18" t="inlineStr">
        <is>
          <t>Answer (as saved)</t>
        </is>
      </c>
    </row>
    <row r="2" ht="60" customHeight="1">
      <c r="A2" s="36" t="inlineStr">
        <is>
          <t>S-F9</t>
        </is>
      </c>
      <c r="B2" s="37" t="inlineStr">
        <is>
          <t>S-F9</t>
        </is>
      </c>
      <c r="C2" s="36" t="n">
        <v>17.5</v>
      </c>
      <c r="D2" s="37" t="inlineStr">
        <is>
          <t>chat-536563a9-ec3c-4832-adbe-0caa3c9c3ddc</t>
        </is>
      </c>
      <c r="E2" s="25" t="inlineStr">
        <is>
          <t>{"matches":[{"projectId":"LFQ1wAO6pY3cjZRfBrFd","name":"SO Sofitel Residences KLCC","rationale":"VP completed and ready for immediate rental income. Prime location 250m from KLCC and beside Four Seasons Hotel.","matchedCriteria":{"segment":"investment","priceMax":1500000,"nationality":"malaysian","bumiputera":false,"locationPref":"KLCC","bedrooms":null},"highlight":"VP completed and ready for rental, 250m from KLCC","collateral":[{"type":"showroom-video","url":"https://drive.google.com/drive/folders/1vmesCu7y1WL3b44IrtKo051ULGY32vEy?usp=drive_link"},{"type":"drive","url":"https://drive.google.com/drive/folders/1v8BhWtyaRh7TvUhRFDEbvkMuZOz9OTPF?usp=sharing"},{"type":"reels","url":"https://drive.google.com/drive/folders/1iNFVX5sqlbhEYQrxsDNdWyxx7F3WEyh4?usp=drive_link"},{"type":"showroom-video","url":"https://drive.google.com/drive/folders/19zzESa5WLJAAsaUFUTmRgPLFEKKCHDdp?usp=drive_link"},{"type":"drone-footage","url":"https://drive.google.com/drive/folders/1Q_HtxSgyG-SYacLud4VgCeDwlBWUPYmm?usp=drive_link"},{"type":"fb-ads","url":"https://drive.google.com/drive/folders/1fnDolIyPPpKNgEfI-EVAnLmNDjyZh1Jf?usp=sharing"},{"type":"whatsapp-media","url":"https://firebasestorage.googleapis.com/v0/b/cy-csaiagent.firebasestorage.app/o/collateral%2FLFQ1wAO6pY3cjZRfBrFd%2Fwhatsapp%2FBanker%20Carley%20(Alliance%20Bank)%20.vcf?alt=media&amp;token=e2efe8ec-b60e-4a7d-8e7a-16ebba12550b"},{"type":"whatsapp-media","url":"https://firebasestorage.googleapis.com/v0/b/cy-csaiagent.firebasestorage.app/o/collateral%2FLFQ1wAO6pY3cjZRfBrFd%2Fwhatsapp%2FBanker%20Andric%20(Affin).vcf?alt=media&amp;token=816a0680-b6a4-43dd-8166-975968515279"},{"type":"whatsapp-media","url":"https://firebasestorage.googleapis.com/v0/b/cy-csaiagent.firebasestorage.app/o/collateral%2FLFQ1wAO6pY3cjZRfBrFd%2Fwhatsapp%2FBanker%20Andric%20(Affin)%20.vcf?alt=media&amp;token=6774fb7c-41ef-4a7a-9243-b8106e87deb3"},{"type":"whatsapp-media","url":"https://firebasestorage.googleapis.com/v0/b/cy-csaiagent.firebasestorage.app/o/collateral%2FLFQ1wAO6pY3cjZRfBrFd%2Fwhatsapp%2F_3%20contacts.vcf?alt=media&amp;token=0e8486d6-354d-411c-b5a2-850144d5e389"},{"type":"whatsapp-media","url":"https://firebasestorage.googleapis.com/v0/b/cy-csaiagent.firebasestorage.app/o/collateral%2FLFQ1wAO6pY3cjZRfBrFd%2Fwhatsapp%2FLego%20Vipod%20Broadband%20Application%20Agent.vcf?alt=media&amp;token=9b5ff391-0671-4ff4-b5ea-6f87b146b1da"},{"type":"whatsapp-media","url":"https://firebasestorage.googleapis.com/v0/b/cy-csaiagent.firebasestorage.app/o/collateral%2FLFQ1wAO6pY3cjZRfBrFd%2Fwhatsapp%2FBOC%20Eloise%20Chan.vcf?alt=media&amp;token=66a28c84-5fab-4dc7-812c-a39243ee3deb"}]},{"projectId":"A7h6tCOPvghxPHW1l5JA","name":"Eaton Residences by Sutera @ KLCC","rationale":"VP completed asset along Jalan Kia Peng, highly attractive for expatriate tenant demand in KLCC.","matchedCriteria":{"segment":"investment","priceMax":1500000,"nationality":"malaysian","bumiputera":false,"locationPref":"KLCC","bedrooms":null},"highlight":"VP completed on Jalan Kia Peng, prime rental catchment area","collateral":[{"type":"whatsapp-media","url":"https://firebasestorage.googleapis.com/v0/b/cy-csaiagent.firebasestorage.app/o/collateral%2FA7h6tCOPvghxPHW1l5JA%2Fwhatsapp%2FEaton%20MCO%20080822.pdf?alt=media&amp;token=238cba7b-2989-4fcf-ab3c-6376402132fb"},{"type":"whatsapp-media","url":"https://firebasestorage.googleapis.com/v0/b/cy-csaiagent.firebasestorage.app/o/collateral%2FA7h6tCOPvghxPHW1l5JA%2Fwhatsapp%2FDutama%20-%20Notice%20Letter%20New%20Selling%20Package%20Letter%2015082024%20-%20Darren.pdf?alt=media&amp;token=9305b8a7-a7e1-4f47-be2a-6c13a365f5ce"},{"type":"whatsapp-media","url":"https://firebasestorage.googleapis.com/v0/b/cy-csaiagent.firebasestorage.app/o/collateral%2FA7h6tCOPvghxPHW1l5JA%2Fwhatsapp%2FEaton%20Special%20Package_Intermediate_170122.pdf?alt=media&amp;token=2bf1e233-fdcc-4ef7-b298-652c273e12a1"},{"type":"whatsapp-media","url":"https://firebasestorage.googleapis.com/v0/b/cy-csaiagent.firebasestorage.app/o/collateral%2FA7h6tCOPvghxPHW1l5JA%2Fwhatsapp%2F11.%20FAQ.pdf?alt=media&amp;token=5cf0872f-3748-483a-8e1f-28217fa07592"},{"type":"whatsapp-media","url":"https://firebasestorage.googleapis.com/v0/b/cy-csaiagent.firebasestorage.app/o/collateral%2FA7h6tCOPvghxPHW1l5JA%2Fwhatsapp%2FEaton%20KLCC_GRR%20PACKAGE_Oct%202024.pdf?alt=media&amp;token=e7309afd-a5a4-47fe-acad-d0ee8e66942f"},{"type":"whatsapp-media","url":"https://firebasestorage.googleapis.com/v0/b/cy-csaiagent.firebasestorage.app/o/collateral%2FA7h6tCOPvghxPHW1l5JA%2Fwhatsapp%2F1a.%20New%20Brochure%20(English).pdf?alt=media&amp;token=f71d48bd-495c-4d95-9dea-9726920994dc"},{"type":"whatsapp-media","url":"https://firebasestorage.googleapis.com/v0/b/cy-csaiagent.firebasestorage.app/o/collateral%2FA7h6tCOPvghxPHW1l5JA%2Fwhatsapp%2F12a.%20New%20Sales%20Kit%20(Eng).pdf?alt=media&amp;token=3c384c9f-8e7a-4dbe-bc85-6d54c959eb5b"},{"type":"whatsapp-media","url":"https://firebasestorage.googleapis.com/v0/b/cy-csaiagent.firebasestorage.app/o/collateral%2FA7h6tCOPvghxPHW1l5JA%2Fwhatsapp%2FHot%20units%2011%20(R1).pdf?alt=media&amp;token=a02d3aa2-08e6-463d-9301-6f4b260beaa5"},{"type":"whatsapp-media","url":"https://firebasestorage.googleapis.com/v0/b/cy-csaiagent.firebasestorage.app/o/collateral%2FA7h6tCOPvghxPHW1l5JA%2Fwhatsapp%2FEaton%20%20-%20Type%20A%20_%20B%20(Complimentary%20FF).pdf?alt=media&amp;token=a8b572ee-9219-46ec-b3fc-0ec67eaf857f"},{"type":"whatsapp-media","url":"https://firebasestorage.googleapis.com/v0/b/cy-csaiagent.firebasestorage.app/o/collateral%2FA7h6tCOPvghxPHW1l5JA%2Fwhatsapp%2FEaton%20Intermediate%20080822.pdf?alt=media&amp;token=d73043d0-ede0-423b-9c2d-720ff0768944"},{"type":"whatsapp-media","url":"https://firebasestorage.googleapis.com/v0/b/cy-csaiagent.firebasestorage.app/o/collateral%2FA7h6tCOPvghxPHW1l5JA%2Fwhatsapp%2FEaton%20Corner%20100522.pdf?alt=media&amp;token=a2c2b0dc-1f1d-4d54-b9a8-6ac98b9749fb"},{"type":"whatsapp-media","url":"https://firebasestorage.googleapis.com/v0/b/cy-csaiagent.firebasestorage.app/o/collateral%2FA7h6tCOPvghxPHW1l5JA%2Fwhatsapp%2FEaton%20Penthouse_May%202024.pdf?alt=media&amp;token=b149b1af-6fce-4e23-90f5-a7cb56eaad9e"}]},{"projectId":"DFZ9QGqJWkwcAfktHGBK","name":"TRX Residences","rationale":"Freehold completed project directly integrated with Tun Razak Exchange financial hub for high professional tenant pool.","matchedCriteria":{"segment":"investment","priceMax":1500000,"nationality":"malaysian","bumiputera":false,"locationPref":"KLCC","bedrooms":null},"highlight":"VP completed unit inside TRX international financial district"},{"projectId":"2XuDf0Kw7ebp92Z4CMaP","name":"Dawn KLCC","rationale":"Freehold development just 385m walk to KLCC Twin Towers with compact sizes ideal for high yield entry.","matchedCriteria":{"segment":"investment","priceMax":1500000,"nationality":"malaysian","bumiputera":false,"locationPref":"KLCC","bedrooms":null},"highlight":"Freehold development 385m walk to KLCC Twin Towers","collateral":[{"type":"drive","url":"https://drive.google.com/drive/folders/1exgYu8PWrdwb4CbDM9SsVwJv_TcbcmNR?usp=drive_link"},{"type":"drive","url":"https://drive.google.com/drive/folders/1s8lV8r7xRqEEe3VoFiWyKWvr31uak0ku?usp=drive_link"},{"type":"project-info","url":"https://drive.google.com/drive/folders/1cNX40k3Wz131QPkf9zXCoYNkZKvs-ISO?usp=sharing"}]},{"projectId":"6Vl2Py196ogTG3seI28U","name":"Quill Residences KLCC","rationale":"Lower entry price point from RM761k with direct mall integration along Jalan Sultan Ismail for steady tenant demand.","matchedCriteria":{"segment":"investment","priceMax":1500000,"nationality":"malaysian","bumiputera":false,"locationPref":"KLCC","bedrooms":null},"highlight":"Freehold entry from RM761k directly above Quill City Mall"}],"rows":[{"projectId":"2XuDf0Kw7ebp92Z4CMaP","name":"Dawn KLCC","priceValue":1270000,"bedrooms":1,"tenure":"Freehold","locationText":"KLCC, Kuala Lumpur. 385m to KLCC Twin Towers, walking distance to LRT KLCC, Kampung Baru, near W Hotel &amp; Four Seasons Hotel.","vpStatus":false,"bumiQuota":false,"foreignEligible":false,"sizeMinSqft":348,"sizeMaxSqft":835,"score":0.7083598522540566},{"projectId":"LFQ1wAO6pY3cjZRfBrFd","name":"SO Sofitel Residences KLCC","priceValue":1212640,"bedrooms":1,"tenure":"Freehold","locationText":"KLCC Ampang, 250m walk to KLCC &amp; KLCC Park, beside Four Seasons Hotel, near 2 LRT &amp; 2 MRT stations","vpStatus":true,"bumiQuota":false,"foreignEligible":false,"sizeMinSqft":566,"sizeMaxSqft":995,"score":0.6954203996426648},{"projectId":"A7h6tCOPvghxPHW1l5JA","name":"Eaton Residences by Sutera @ KLCC","priceValue":1148750,"bedrooms":1,"tenure":"Leasehold 2114","locationText":"Jalan Kia Peng, KLCC, Kuala Lumpur","vpStatus":true,"bumiQuota":false,"foreignEligible":true,"sizeMinSqft":635,"sizeMaxSqft":2885,"score":0.6848114441188285},{"projectId":"DFZ9QGqJWkwcAfktHGBK","name":"TRX Residences","priceValue":1032000,"bedrooms":1,"tenure":"Freehold","locationText":"Tun Razak Exchange (TRX), KLCC/Bukit Bintang, Kuala Lumpur (55188)","vpStatus":true,"bumiQuota":false,"foreignEligible":true,"sizeMinSqft":474,"sizeMaxSqft":1636,"score":0.6690717307512469},{"projectId":"6Vl2Py196ogTG3seI28U","name":"Quill Residences KLCC","priceValue":761000,"bedrooms":1,"tenure":"Freehold","locationText":"Jalan Sultan Ismail above Quill City Mall, Golden Triangle KL (KLCC/Bukit Bintang)","vpStatus":true,"bumiQuota":false,"foreignEligible":false,"sizeMinSqft":null,"sizeMaxSqft":null,"score":0.6985484977148851},{"projectId":"Vy42PE5qZxJzLIBe2fvW","name":"Star Residences KLCC","priceValue":0,"bedrooms":0,"tenure":"Freehold","locationText":"Opposite KLCC, Jalan Yap Kwan Seng, KLCC district, walking distance to shopping &amp; business area","vpStatus":true,"bumiQuota":false,"foreignEligible":false,"sizeMinSqft":625,"sizeMaxSqft":2972,"score":0.6971852974400345},{"projectId":"mkhvGpzdLqmO1Y6o6M1F","name":"Platinum Face Suite 2 KLCC","priceValue":0,"bedrooms":0,"tenure":"Freehold","locationText":"Jalan Sultan Ismail, Kuala Lumpur (KLCC area)","vpStatus":true,"bumiQuota":false,"foreignEligible":true,"sizeMinSqft":550,"sizeMaxSqft":1625,"score":0.6822226088094167},{"projectId":"incefTUSycrB4BWTssgn","name":"The Manor KLCC","priceValue":1493172,"bedrooms":0,"tenure":"Freehold","locationText":"Persiaran Stonor, KLCC, Kuala Lumpur","vpStatus":false,"bumiQuota":false,"foreignEligible":false,"sizeMinSqft":null,"sizeMaxSqft":null,"score":0.672018879665817},{"projectId":"3mxxrORFeZBV2RSUMu98","name":"Aria Luxury Residence @ KLCC","priceValue":1411000,"bedrooms":0,"tenure":"Freehold","locationText":"Jalan Tun Razak, near KLCC, Kuala Lumpur city centre","vpStatus":false,"bumiQuota":false,"foreignEligible":false,"sizeMinSqft":null,"sizeMaxSqft":null,"score":0.6841390601461934},{"projectId":"Ohnp2lpwtHES0OL0qu5E","name":"Times Square 2 Residences Kuala Lumpur","priceValue":568090,"bedrooms":0,"tenure":"Unknown","locationText":"Times Square 2, KLCC/Bukit Bintang/TRX area, Kuala Lumpur","vpStatus":false,"bumiQuota":false,"foreignEligible":false,"sizeMinSqft":null,"sizeMaxSqft":null,"score":0.6568839044276218},{"projectId":"oWzA0mi4GKdPIsZ4ioYJ","name":"Clouthaus KLCC","priceValue":0,"bedrooms":0,"tenure":"Freehold","locationText":"Jalan Ampang, Menara TA compound, KLCC area, Kuala Lumpur","vpStatus":false,"bumiQuota":false,"foreignEligible":true,"sizeMinSqft":1098,"sizeMaxSqft":2500,"score":0.688788426481208},{"projectId":"cPm26piH01BLSP7QLZkx","name":"The Centrix","priceValue":0,"bedrooms":0,"tenure":"Leasehold 2128","locationText":"Dang Wangi Station, KLCC/Bukit Bintang area, KL Sentral nearby, 900m from KLCC","vpStatus":false,"bumiQuota":false,"foreignEligible":true,"sizeMinSqft":566,"sizeMaxSqft":1187,"score":0.6726633960121898},{"projectId":"sMPvO88kDSUNcJlujNK3","name":"PSQ Pavilion Square","priceValue":0,"bedrooms":0,"tenure":"Leasehold 2122","locationText":"Opposite Pavilion KL Mall, Jalan Bukit Bintang, KLCC/Bukit Bintang area, with direct link bridge to Pavilion KL Mall","vpStatus":false,"bumiQuota":false,"foreignEligible":false,"sizeMinSqft":504,"sizeMaxSqft":1272,"score":0.6496913024564327}]}</t>
        </is>
      </c>
    </row>
    <row r="3" ht="60" customHeight="1">
      <c r="A3" s="36" t="inlineStr">
        <is>
          <t>S-F5</t>
        </is>
      </c>
      <c r="B3" s="37" t="inlineStr">
        <is>
          <t>S-F5</t>
        </is>
      </c>
      <c r="C3" s="36" t="n">
        <v>14.7</v>
      </c>
      <c r="D3" s="37" t="inlineStr">
        <is>
          <t>chat-ff769eb0-37c1-460f-b7de-c22a6b853d2c</t>
        </is>
      </c>
      <c r="E3" s="25" t="inlineStr">
        <is>
          <t>{"matches":[{"projectId":"QZL9WpMOxZ07JHxSl54P","name":"Tangen Residences","rationale":"Offers spacious 3-bedroom freehold layouts from 1,033 sqft well within Madam Wong's RM800k budget, situated 5 minutes from Desa ParkCity and Mont Kiara.","matchedCriteria":{"segment":"own_stay","priceMax":800000,"nationality":"malaysian","bumiputera":false,"locationPref":"North Kiara","bedrooms":null},"highlight":"Freehold 3-bedroom layouts from 1,033 sqft starting at RM659,000.","collateral":[{"type":"whatsapp-media","url":"https://firebasestorage.googleapis.com/v0/b/cy-csaiagent.firebasestorage.app/o/collateral%2FQZL9WpMOxZ07JHxSl54P%2Fwhatsapp%2FEH_Tangen_20PP%20Main%20Brochure_FAOL_230829_e-Brochure.pdf?alt=media&amp;token=78413662-34b3-42b8-a5b1-219362d5396d"},{"type":"whatsapp-media","url":"https://firebasestorage.googleapis.com/v0/b/cy-csaiagent.firebasestorage.app/o/collateral%2FQZL9WpMOxZ07JHxSl54P%2Fwhatsapp%2FEH_Tangen_SalesKit_FAQ_26032025.pdf?alt=media&amp;token=6ea2feb8-93c1-4ab9-a6a2-585d3e146211"},{"type":"whatsapp-media","url":"https://firebasestorage.googleapis.com/v0/b/cy-csaiagent.firebasestorage.app/o/collateral%2FQZL9WpMOxZ07JHxSl54P%2Fwhatsapp%2FTangen%20Latest%20Sales%20package%20(with%20furnished%20table)_22052025.pdf?alt=media&amp;token=a0292906-7254-4f1d-a82c-28c1c8d4c011"},{"type":"whatsapp-media","url":"https://firebasestorage.googleapis.com/v0/b/cy-csaiagent.firebasestorage.app/o/collateral%2FQZL9WpMOxZ07JHxSl54P%2Fwhatsapp%2FTangen%20unit%20available%20for%20Foreigner%20Buyer%20as%20at%2031%20Jan%202026.pdf?alt=media&amp;token=073c9a44-f03e-4578-a302-ab889cafb8d2"},{"type":"whatsapp-media","url":"https://firebasestorage.googleapis.com/v0/b/cy-csaiagent.firebasestorage.app/o/collateral%2FQZL9WpMOxZ07JHxSl54P%2Fwhatsapp%2FEH_Tangen_SimplifiedBrochure_EBRO.pdf?alt=media&amp;token=7e32d97a-78bf-4e67-8251-1f14fa72c1cb"},{"type":"whatsapp-media","url":"https://firebasestorage.googleapis.com/v0/b/cy-csaiagent.firebasestorage.app/o/collateral%2FQZL9WpMOxZ07JHxSl54P%2Fwhatsapp%2FBriefing%20on%20eSPA%20_%20eSignature.pdf?alt=media&amp;token=8012b783-7c8e-4de4-8eb2-3e8a0bf787c5"},{"type":"whatsapp-media","url":"https://firebasestorage.googleapis.com/v0/b/cy-csaiagent.firebasestorage.app/o/collateral%2FQZL9WpMOxZ07JHxSl54P%2Fwhatsapp%2FTangen%20Latest%20Sales%20package_24.03.2026.pdf?alt=media&amp;token=c5a0fa48-1717-40da-8c83-745fd2f28d25"},{"type":"whatsapp-media","url":"https://firebasestorage.googleapis.com/v0/b/cy-csaiagent.firebasestorage.app/o/collateral%2FQZL9WpMOxZ07JHxSl54P%2Fwhatsapp%2FTangen-schedule%20of%20payment%20(1).pdf?alt=media&amp;token=a7453656-483f-4adb-8552-1d5755cd0fa0"},{"type":"whatsapp-media","url":"https://firebasestorage.googleapis.com/v0/b/cy-csaiagent.firebasestorage.app/o/collateral%2FQZL9WpMOxZ07JHxSl54P%2Fwhatsapp%2FTangen%20Latest%20Sales%20package_27.11.2025.pdf?alt=media&amp;token=0562864d-158f-4ffd-9554-f934b76890cb"},{"type":"whatsapp-media","url":"https://firebasestorage.googleapis.com/v0/b/cy-csaiagent.firebasestorage.app/o/collateral%2FQZL9WpMOxZ07JHxSl54P%2Fwhatsapp%2FEH_Tangen_20PP%20Main%20Brochure_FAOL_230829_e-Brochure-1.pdf?alt=media&amp;token=d4889aeb-6513-4b92-b327-f1cb207eb6cb"},{"type":"whatsapp-media","url":"https://firebasestorage.googleapis.com/v0/b/cy-csaiagent.firebasestorage.app/o/collateral%2FQZL9WpMOxZ07JHxSl54P%2Fwhatsapp%2FTangen%20Foreigner%20unit%20lists%20as%20at%209%20Mar%202026.pdf?alt=media&amp;token=9d2844b5-3b88-4a72-a2e0-edf99cc943ec"},{"type":"whatsapp-media","url":"https://firebasestorage.googleapis.com/v0/b/cy-csaiagent.firebasestorage.app/o/collateral%2FQZL9WpMOxZ07JHxSl54P%2Fwhatsapp%2FTangen%20SalesKit.pdf?alt=media&amp;token=d4e22a9d-306a-455c-8e2e-beedb0ba4b88"}]},{"projectId":"02F5tLppdnsZhpipbowa","name":"Miranda Hill @ north kiara by BRDB","rationale":"A reputable freehold BRDB development located near Publika Mall and opposite the French School, offering quality residential living within budget.","matchedCriteria":{"segment":"own_stay","priceMax":800000,"nationality":"malaysian","bumiputera":false,"locationPref":"North Kiara","bedrooms":null},"highlight":"Freehold BRDB development 3 streets from Publika Mall starting at RM730,250.","collateral":[{"type":"demand-gen","url":"https://drive.google.com/drive/folders/1a6kP05MH8OATRmifYWSxWr_5i4qPtuG-?usp=drive_link"},{"type":"reels","url":"https://drive.google.com/file/d/1vgU2NvgggEhUl9QTBY0diqB10cgYjVsR/view?usp=drive_link"},{"type":"project-info","url":"https://drive.google.com/drive/folders/1ZKKOVjnuNPgQ5kcxiI2HRd5D0pyRiGCJ?usp=sharing"},{"type":"drive","url":"https://drive.google.com/drive/folders/1h-FUHmkjq_bQBc3mlqtR8UJo2z7LLWkJ?usp=sharing"}]}],"rows":[{"projectId":"QZL9WpMOxZ07JHxSl54P","name":"Tangen Residences","priceValue":659000,"bedrooms":3,"tenure":"Freehold","locationText":"Jalan Seri Bintang, Segambut / North Kiara, 5 minutes to Desa ParkCity &amp; Mont Kiara, KL North","vpStatus":false,"bumiQuota":false,"foreignEligible":false,"sizeMinSqft":1033,"sizeMaxSqft":1582,"score":0.7063280918768035},{"projectId":"02F5tLppdnsZhpipbowa","name":"Miranda Hill @ north kiara by BRDB","priceValue":730250,"bedrooms":2,"tenure":"Freehold","locationText":"Jalan Dutamas Melati, North Kiara/Mont Kiara, KL (3 streets from Publika Mall, opposite French School)","vpStatus":false,"bumiQuota":false,"foreignEligible":true,"sizeMinSqft":943,"sizeMaxSqft":3584,"score":0.6979728755045559}]}</t>
        </is>
      </c>
    </row>
    <row r="4" ht="60" customHeight="1">
      <c r="A4" s="36" t="inlineStr">
        <is>
          <t>S-F1</t>
        </is>
      </c>
      <c r="B4" s="37" t="inlineStr">
        <is>
          <t>S-F1</t>
        </is>
      </c>
      <c r="C4" s="36" t="n">
        <v>18</v>
      </c>
      <c r="D4" s="37" t="inlineStr">
        <is>
          <t>chat-625072db-cab0-4f38-b94f-2ae24de24d3b</t>
        </is>
      </c>
      <c r="E4" s="25" t="inlineStr">
        <is>
          <t>{"matches":[{"projectId":"vTsTFUTt5BYDltcvqEs2","name":"OAKA Residences, Bukit Jalil","rationale":"Strong own-stay fit in Bukit Jalil within Encik Ali's RM800k budget, offering spacious freehold units (882–1,423 sqft) located 1.5km from Pavilion Bukit Jalil and adjacent to Bukit Jalil Golf Club.","matchedCriteria":{"segment":"own_stay","priceMax":800000,"nationality":"malaysian","bumiputera":false,"locationPref":"Bukit Jalil","bedrooms":null},"highlight":"Freehold 882–1,423 sqft units 1.5km from Pavilion Bukit Jalil.","collateral":[{"type":"whatsapp-media","url":"https://firebasestorage.googleapis.com/v0/b/cy-csaiagent.firebasestorage.app/o/collateral%2FvTsTFUTt5BYDltcvqEs2%2Fwhatsapp%2FThe%20Queenswoodz%20_%20Bukit%20Jalil%20(Sales%20Kit%20-%20MW).pdf?alt=media&amp;token=75f1bc2a-0e0c-4f73-827e-00a5d302a58f"},{"type":"whatsapp-media","url":"https://firebasestorage.googleapis.com/v0/b/cy-csaiagent.firebasestorage.app/o/collateral%2FvTsTFUTt5BYDltcvqEs2%2Fwhatsapp%2Fmhub-storey_plan-oaka_residences_(tower_b)-20260701152752.pdf?alt=media&amp;token=088440e8-28f9-4e53-b43a-18b52b4061cc"},{"type":"whatsapp-media","url":"https://firebasestorage.googleapis.com/v0/b/cy-csaiagent.firebasestorage.app/o/collateral%2FvTsTFUTt5BYDltcvqEs2%2Fwhatsapp%2Fmhub-storey_plan-oaka_residences_(tower_a)-20260804174648.pdf?alt=media&amp;token=5ce1f0f1-2c36-4132-8a0d-6b0c1998bdb2"},{"type":"whatsapp-media","url":"https://firebasestorage.googleapis.com/v0/b/cy-csaiagent.firebasestorage.app/o/collateral%2FvTsTFUTt5BYDltcvqEs2%2Fwhatsapp%2FPrice%20Chart%20Tower%20B%203.10.2025.pdf?alt=media&amp;token=bc2a0e2b-44bd-4492-8140-b21a5c126549"},{"type":"whatsapp-media","url":"https://firebasestorage.googleapis.com/v0/b/cy-csaiagent.firebasestorage.app/o/collateral%2FvTsTFUTt5BYDltcvqEs2%2Fwhatsapp%2Fmhub-storey_plan-oaka_residences_(tower_a)-20260714092822.pdf?alt=media&amp;token=ba752733-a528-47cc-8c94-265998e5266f"},{"type":"whatsapp-media","url":"https://firebasestorage.googleapis.com/v0/b/cy-csaiagent.firebasestorage.app/o/collateral%2FvTsTFUTt5BYDltcvqEs2%2Fwhatsapp%2Fmhub-storey_plan-oaka_residences_(tower_b)-20260714092940.pdf?alt=media&amp;token=4fdf28e8-2c4e-43ae-aaf2-85b03cc1aa5c"},{"type":"whatsapp-media","url":"https://firebasestorage.googleapis.com/v0/b/cy-csaiagent.firebasestorage.app/o/collateral%2FvTsTFUTt5BYDltcvqEs2%2Fwhatsapp%2FCar%20park%20plan%20(TA%20_%20TB).xlsx?alt=media&amp;token=b4883f5a-3075-4867-86f2-03f5819811f3"},{"type":"whatsapp-media","url":"https://firebasestorage.googleapis.com/v0/b/cy-csaiagent.firebasestorage.app/o/collateral%2FvTsTFUTt5BYDltcvqEs2%2Fwhatsapp%2FOAKA%20Residences%20-%20Stage%20Billing%20Estimate.pdf?alt=media&amp;token=b0c3ddb6-4e8a-45dc-906f-4dad932d5f97"},{"type":"whatsapp-media","url":"https://firebasestorage.googleapis.com/v0/b/cy-csaiagent.firebasestorage.app/o/collateral%2FvTsTFUTt5BYDltcvqEs2%2Fwhatsapp%2Fmhub-storey_plan-oaka_residences_(tower_a)-20251130202803.pdf?alt=media&amp;token=09b270e2-ae0d-432e-9ad5-51f4178c22c0"},{"type":"whatsapp-media","url":"https://firebasestorage.googleapis.com/v0/b/cy-csaiagent.firebasestorage.app/o/collateral%2FvTsTFUTt5BYDltcvqEs2%2Fwhatsapp%2Fmhub-storey_plan-oaka_residences_(tower_b)-20260804174421.pdf?alt=media&amp;token=064c2d34-f595-4377-a0d6-390bb7f663bc"},{"type":"whatsapp-media","url":"https://firebasestorage.googleapis.com/v0/b/cy-csaiagent.firebasestorage.app/o/collateral%2FvTsTFUTt5BYDltcvqEs2%2Fwhatsapp%2Fmhub-storey_plan-oaka_residences_(tower_a)-20260609072627.pdf?alt=media&amp;token=c72af09e-a80e-4acb-b3cd-eaca36d7d687"},{"type":"whatsapp-media","url":"https://firebasestorage.googleapis.com/v0/b/cy-csaiagent.firebasestorage.app/o/collateral%2FvTsTFUTt5BYDltcvqEs2%2Fwhatsapp%2FOaka%20lv11_17%20layout.pdf?alt=media&amp;token=49557635-3c8c-4f30-a5c0-98d777f134db"}]},{"projectId":"gmyjno668zbpf7wEoefH","name":"Exsim Project","rationale":"Portfolio includes developments in Bukit Jalil suitable for own stay; specific pricing and layouts on record are unlisted and require confirmation with D2 sales admin.","matchedCriteria":{"segment":"own_stay","priceMax":null,"nationality":"malaysian","bumiputera":false,"locationPref":"Bukit Jalil","bedrooms":null},"highlight":"Multi-location development portfolio including Bukit Jalil.","collateral":[{"type":"drive","url":"https://drive.google.com/drive/folders/1XiDImvcFanGZ33YE5MObDeaytSQQXNmZ?usp=sharing"},{"type":"drive","url":"https://drive.google.com/drive/folders/1kpdcRaETGcRhQAdAr9wtolqhABgSTqG6?usp=sharing"},{"type":"drive","url":"https://drive.google.com/drive/folders/1aOo8BzvPnC_QTOeRUWjJNz0Pr5U03kiF?usp=sharing"},{"type":"drive","url":"https://drive.google.com/drive/folders/1u65-Cx34gpYlBR8IAQtXy2u3HqWTS_Gz?usp=sharing"},{"type":"drive","url":"https://drive.google.com/drive/folders/19qeT9i1so9Gqzy0MYG-gnZjCihkLjzkL?usp=sharing"},{"type":"drive","url":"https://drive.google.com/drive/folders/1h2BMiAXKekwwvc0jYVkVdqCyo1bWVslt?usp=sharing"},{"type":"drive","url":"https://drive.google.com/drive/folders/1Oj09zcdnUdW6kM1aebL9hcCTMAo-Vw1o?usp=sharing"},{"type":"drive","url":"https://drive.google.com/drive/folders/1TvbeM3OSPcicG6Rn-IKWAVO6sKPO5APh?usp=sharing"},{"type":"drive","url":"https://drive.google.com/drive/folders/1d89oP6n6ciLpLl3g5Y77NNABDdgTm6En?usp=sharing"},{"type":"drive","url":"https://drive.google.com/drive/folders/1z9dBJfCO_PmTS4SOJVErACqs92mty3EA?usp=sharing"},{"type":"drive","url":"https://drive.google.com/drive/folders/1aCsuupQb1OGnSFnCigiWXykpI1f64wvV?usp=sharing"},{"type":"google-doc","url":"https://docs.google.com/document/d/192ettG3kdmrnHu0s1KDPcwjLKRdwOVAI/edit?usp=sharing&amp;ouid=110326026664370972649&amp;rtpof=true&amp;sd=true"}]}],"rows":[{"projectId":"vTsTFUTt5BYDltcvqEs2","name":"OAKA Residences, Bukit Jalil","priceValue":750000,"bedrooms":2,"tenure":"Freehold","locationText":"Jalan Jalil Perkasa, Bukit Jalil, Kuala Lumpur; adjacent to Bukit Jalil Golf Club, 1.5km to Pavilion Bukit Jalil, walkable to esplanade","vpStatus":false,"bumiQuota":false,"foreignEligible":false,"sizeMinSqft":882,"sizeMaxSqft":1423,"score":0.699468597654166},{"projectId":"gmyjno668zbpf7wEoefH","name":"Exsim Project","priceValue":0,"bedrooms":0,"tenure":"Unknown","locationText":"Multiple locations: KL South region including Old Klang Road, Bukit Jalil, Damansara Empire, KL City Centre, KL Metropolis, Bukit Ceylon; also Ipoh and Penang","vpStatus":false,"bumiQuota":false,"foreignEligible":false,"sizeMinSqft":null,"sizeMaxSqft":null,"score":0.6385764819637936}]}</t>
        </is>
      </c>
    </row>
    <row r="5" ht="60" customHeight="1">
      <c r="A5" s="36" t="inlineStr">
        <is>
          <t>S-N2</t>
        </is>
      </c>
      <c r="B5" s="37" t="inlineStr">
        <is>
          <t>S-N2</t>
        </is>
      </c>
      <c r="C5" s="36" t="n">
        <v>15.9</v>
      </c>
      <c r="D5" s="37" t="inlineStr">
        <is>
          <t>chat-9a74aa84-eb44-4b57-a299-a1409e0e64ac</t>
        </is>
      </c>
      <c r="E5" s="25" t="inlineStr">
        <is>
          <t>{"matches":[{"projectId":"bWOuyI6cNAna1nweLHkC","name":"Parkside Residences","rationale":"Located along Jalan Bangsar just 400m from Bangsar LRT station, offering units starting from RM588,000 within Mr Lim's RM650,000 budget.","matchedCriteria":{"segment":"own_stay","priceMax":650000,"nationality":"malaysian","bumiputera":false,"locationPref":"Bangsar","bedrooms":null},"highlight":"400m to Bangsar LRT, priced from RM588,000","collateral":[{"type":"whatsapp-media","url":"https://firebasestorage.googleapis.com/v0/b/cy-csaiagent.firebasestorage.app/o/collateral%2FbWOuyI6cNAna1nweLHkC%2Fwhatsapp%2FSFH_Parkside%20Residences_Brochure%20(31%20Oct%202025).pdf?alt=media&amp;token=d795c7c8-183f-4321-bfe9-669a2ec37c3c"},{"type":"whatsapp-media","url":"https://firebasestorage.googleapis.com/v0/b/cy-csaiagent.firebasestorage.app/o/collateral%2FbWOuyI6cNAna1nweLHkC%2Fwhatsapp%2FParkside%20Availability%20041025.pdf?alt=media&amp;token=ef4671ce-ecf7-45fa-b71e-405cffcc9bcd"},{"type":"whatsapp-media","url":"https://firebasestorage.googleapis.com/v0/b/cy-csaiagent.firebasestorage.app/o/collateral%2FbWOuyI6cNAna1nweLHkC%2Fwhatsapp%2FZEON%20-%20SFH_ParksideResidences_SalesKit%2021112024%20Strictly%20P_C.pdf?alt=media&amp;token=249a26b7-37ed-40ce-abef-62dc6c8f6172"},{"type":"whatsapp-media","url":"https://firebasestorage.googleapis.com/v0/b/cy-csaiagent.firebasestorage.app/o/collateral%2FbWOuyI6cNAna1nweLHkC%2Fwhatsapp%2FViiA%20MASTER-BROCHURE-2020.pdf?alt=media&amp;token=2399e1b4-e4dc-4db4-9326-1ade8476f1fc"},{"type":"whatsapp-media","url":"https://firebasestorage.googleapis.com/v0/b/cy-csaiagent.firebasestorage.app/o/collateral%2FbWOuyI6cNAna1nweLHkC%2Fwhatsapp%2F_P_C_%20SFH%20Parkside%20Residences%20FAQ%20-%20REA%20-%20Copy.pdf?alt=media&amp;token=f106712a-1814-4135-9782-f377c9704d3c"},{"type":"whatsapp-media","url":"https://firebasestorage.googleapis.com/v0/b/cy-csaiagent.firebasestorage.app/o/collateral%2FbWOuyI6cNAna1nweLHkC%2Fwhatsapp%2FParkside%20Availability%20160226.pdf?alt=media&amp;token=1f659455-cc2b-4eb6-8021-c4d02b7a584e"},{"type":"whatsapp-media","url":"https://firebasestorage.googleapis.com/v0/b/cy-csaiagent.firebasestorage.app/o/collateral%2FbWOuyI6cNAna1nweLHkC%2Fwhatsapp%2FCampaign%20brief%20(REA)%20-%20Sign%20_%20Prosper%20and%20Refer%20_%20Reward%202026.pdf?alt=media&amp;token=ce4cf7e7-97d2-4419-a6fa-4dde1dc0dbd1"},{"type":"whatsapp-media","url":"https://firebasestorage.googleapis.com/v0/b/cy-csaiagent.firebasestorage.app/o/collateral%2FbWOuyI6cNAna1nweLHkC%2Fwhatsapp%2FParkside%20NTGs.pdf?alt=media&amp;token=05ee4cb2-2d92-4067-9762-e210a7d44e40"},{"type":"whatsapp-media","url":"https://firebasestorage.googleapis.com/v0/b/cy-csaiagent.firebasestorage.app/o/collateral%2FbWOuyI6cNAna1nweLHkC%2Fwhatsapp%2FParkside%20Residences%20_SFH%20Banker%20Contacts_R2.pdf?alt=media&amp;token=a52d2e50-33ae-4e31-a605-716cdcc490c9"},{"type":"whatsapp-media","url":"https://firebasestorage.googleapis.com/v0/b/cy-csaiagent.firebasestorage.app/o/collateral%2FbWOuyI6cNAna1nweLHkC%2Fwhatsapp%2FParkside%20Availability%20011125.pdf?alt=media&amp;token=99d0fb70-a8a5-42f2-ae79-4484670a0ef3"},{"type":"whatsapp-media","url":"https://firebasestorage.googleapis.com/v0/b/cy-csaiagent.firebasestorage.app/o/collateral%2FbWOuyI6cNAna1nweLHkC%2Fwhatsapp%2FParkside%20OTP%20Form.pdf?alt=media&amp;token=4217d3c5-4ba3-48c5-a4a6-aa351869ce2a"},{"type":"whatsapp-media","url":"https://firebasestorage.googleapis.com/v0/b/cy-csaiagent.firebasestorage.app/o/collateral%2FbWOuyI6cNAna1nweLHkC%2Fwhatsapp%2FParkside%20Availability%20270326.pdf?alt=media&amp;token=3c131479-5712-4808-9c11-9d7708c69051"}]},{"projectId":"jjz7hgG3QG0mY3moUj1V","name":"The Lantern Bangsar","rationale":"A freehold development along Jalan Abdullah in central Bangsar with unit sizes starting from 561 sqft. Specific pricing is not on record.","matchedCriteria":{"segment":"own_stay","priceMax":null,"nationality":"malaysian","bumiputera":false,"locationPref":"Bangsar","bedrooms":null},"highlight":"Freehold development along Jalan Abdullah, Bangsar","collateral":[{"type":"whatsapp-media","url":"https://firebasestorage.googleapis.com/v0/b/cy-csaiagent.firebasestorage.app/o/collateral%2Fjjz7hgG3QG0mY3moUj1V%2Fwhatsapp%2FThe%20Lantern%20-%20FAQ%20(21.10.23).pdf?alt=media&amp;token=fd049106-8ed6-40e8-a1a6-fdf2a408694f"},{"type":"whatsapp-media","url":"https://firebasestorage.googleapis.com/v0/b/cy-csaiagent.firebasestorage.app/o/collateral%2Fjjz7hgG3QG0mY3moUj1V%2Fwhatsapp%2FThe%20Lantern%20-%20Sales%20Kit-8.pdf?alt=media&amp;token=43b4e617-e1b5-443d-93e1-bbe56919c6b3"},{"type":"whatsapp-media","url":"https://firebasestorage.googleapis.com/v0/b/cy-csaiagent.firebasestorage.app/o/collateral%2Fjjz7hgG3QG0mY3moUj1V%2Fwhatsapp%2FLantern%20Bangsar%20Available%20Units%2015%20Jan%202025.pdf?alt=media&amp;token=5821c730-35f8-40cf-901c-068066ad5949"},{"type":"whatsapp-media","url":"https://firebasestorage.googleapis.com/v0/b/cy-csaiagent.firebasestorage.app/o/collateral%2Fjjz7hgG3QG0mY3moUj1V%2Fwhatsapp%2FThe%20Lantern%20-%20Pamphlet%20eBrochure%20(EN).pdf?alt=media&amp;token=0fe72e43-9530-4587-ac9a-84c976e4dcae"},{"type":"whatsapp-media","url":"https://firebasestorage.googleapis.com/v0/b/cy-csaiagent.firebasestorage.app/o/collateral%2Fjjz7hgG3QG0mY3moUj1V%2Fwhatsapp%2F20250419%20l%20Rental%20%20Yield%20update%20(English).pdf?alt=media&amp;token=a3f22889-ab41-4e2d-aa4d-6184c47c6b26"},{"type":"whatsapp-media","url":"https://firebasestorage.googleapis.com/v0/b/cy-csaiagent.firebasestorage.app/o/collateral%2Fjjz7hgG3QG0mY3moUj1V%2Fwhatsapp%2FLantern%20Bangsar%20Available%20Units%2016%20Mar%202025.pdf?alt=media&amp;token=a14a8c1c-0d7e-4a4b-bd39-74d66d3b1246"},{"type":"whatsapp-media","url":"https://firebasestorage.googleapis.com/v0/b/cy-csaiagent.firebasestorage.app/o/collateral%2Fjjz7hgG3QG0mY3moUj1V%2Fwhatsapp%2FBHP_Tower-C_Brochure_July%202023.pdf?alt=media&amp;token=c22556cf-c2fb-43b6-a3b6-3cbb48c49704"},{"type":"whatsapp-media","url":"https://firebasestorage.googleapis.com/v0/b/cy-csaiagent.firebasestorage.app/o/collateral%2Fjjz7hgG3QG0mY3moUj1V%2Fwhatsapp%2FThe%20Lantern%20SG%20Operation%20SOP.pdf?alt=media&amp;token=b971843d-d5bc-4e76-ae8f-1db675593320"},{"type":"whatsapp-media","url":"https://firebasestorage.googleapis.com/v0/b/cy-csaiagent.firebasestorage.app/o/collateral%2Fjjz7hgG3QG0mY3moUj1V%2Fwhatsapp%2FThe%20Lantern%20-%20FAQ%20(23.4.24).pdf?alt=media&amp;token=abde9c4b-e3ab-43b8-af34-f1d2b54e1796"},{"type":"whatsapp-media","url":"https://firebasestorage.googleapis.com/v0/b/cy-csaiagent.firebasestorage.app/o/collateral%2Fjjz7hgG3QG0mY3moUj1V%2Fwhatsapp%2FThe%20Lantern%20-%20Fact%20Sheet.pdf?alt=media&amp;token=791b325b-855f-42e1-a0b0-25fde0da3efd"},{"type":"whatsapp-media","url":"https://firebasestorage.googleapis.com/v0/b/cy-csaiagent.firebasestorage.app/o/collateral%2Fjjz7hgG3QG0mY3moUj1V%2Fwhatsapp%2Fschedule%20H%20(payment%20stages)%20Rev06.xlsx?alt=media&amp;token=29e865ce-f033-435b-a884-465a024135d1"},{"type":"whatsapp-media","url":"https://firebasestorage.googleapis.com/v0/b/cy-csaiagent.firebasestorage.app/o/collateral%2Fjjz7hgG3QG0mY3moUj1V%2Fwhatsapp%2FBank%20Package%20(17.4.2024).pdf?alt=media&amp;token=c3a58979-ba67-4dc5-8c02-4bfae2b93838"}]},{"projectId":"QiQthTM3nC4SqWnST1Q6","name":"Residensi 38 Bangsar","rationale":"A completed leasehold development in Bangsar situated near the LRT station with unit sizes starting from 580 sqft. Pricing is not on record.","matchedCriteria":{"segment":"own_stay","priceMax":null,"nationality":"malaysian","bumiputera":false,"locationPref":"Bangsar","bedrooms":null},"highlight":"Completed project located close to Bangsar LRT station"}],"rows":[{"projectId":"jjz7hgG3QG0mY3moUj1V","name":"The Lantern Bangsar","priceValue":0,"bedrooms":1,"tenure":"Freehold","locationText":"Jalan Abdullah, Bangsar, Centre of KL","vpStatus":false,"bumiQuota":false,"foreignEligible":true,"sizeMinSqft":561,"sizeMaxSqft":1092,"score":0.7140225159068112},{"projectId":"bWOuyI6cNAna1nweLHkC","name":"Parkside Residences","priceValue":588000,"bedrooms":1,"tenure":"Leasehold 2116","locationText":"Jalan Bangsar, Setia Federal Hill, KL; 400m to Bangsar LRT, near KL Sentral, Mid Valley, Bangsar","vpStatus":false,"bumiQuota":false,"foreignEligible":false,"sizeMinSqft":485,"sizeMaxSqft":1325,"score":0.7069473958897713},{"projectId":"oPwVkDEEesqTZwhsiE9U","name":"Pinnacle Bangsar Residence","priceValue":0,"bedrooms":4,"tenure":"Freehold","locationText":"Jalan Medang Kapas, Bangsar, Centre of KL; upscale neighbourhood near U-Thant","vpStatus":true,"bumiQuota":false,"foreignEligible":false,"sizeMinSqft":4000,"sizeMaxSqft":7942,"score":0.6973056485309963},{"projectId":"QiQthTM3nC4SqWnST1Q6","name":"Residensi 38 Bangsar","priceValue":0,"bedrooms":2,"tenure":"Leasehold 2121","locationText":"Bangsar, Kuala Lumpur; closest to LRT among new Bangsar projects","vpStatus":true,"bumiQuota":false,"foreignEligible":false,"sizeMinSqft":580,"sizeMaxSqft":1442,"score":0.6916989163292596}]}</t>
        </is>
      </c>
    </row>
    <row r="6" ht="60" customHeight="1">
      <c r="A6" s="36" t="inlineStr">
        <is>
          <t>S-F11</t>
        </is>
      </c>
      <c r="B6" s="37" t="inlineStr">
        <is>
          <t>S-F11</t>
        </is>
      </c>
      <c r="C6" s="36" t="n">
        <v>12</v>
      </c>
      <c r="D6" s="37" t="inlineStr">
        <is>
          <t>chat-9b91a908-e7ea-45d3-8568-95afe7069487</t>
        </is>
      </c>
      <c r="E6" s="25" t="inlineStr">
        <is>
          <t>D2 currently has no active residential projects in Cheras.</t>
        </is>
      </c>
    </row>
    <row r="7" ht="60" customHeight="1">
      <c r="A7" s="36" t="inlineStr">
        <is>
          <t>S-F13</t>
        </is>
      </c>
      <c r="B7" s="37" t="inlineStr">
        <is>
          <t>S-F13</t>
        </is>
      </c>
      <c r="C7" s="36" t="n">
        <v>19</v>
      </c>
      <c r="D7" s="37" t="inlineStr">
        <is>
          <t>chat-b7b412a0-5279-42f4-a9f1-084e7db5de5f</t>
        </is>
      </c>
      <c r="E7" s="25" t="inlineStr">
        <is>
          <t>### Bangsar Hill Park (Talisa Residences) [Project ID: `NCrw4BbrKLOTyWhb4M5O`]
**Location**: Lorong Maarof, Bangsar (400m walk to Bangsar LRT, 450m to Bangsar Village)
**PSF Rate**: RM 900 – RM 1,000 psf
#### Layouts &amp; Sizes
- **917 sqft**: 2 rooms, 2 baths
- **978 sqft**: 2+1 rooms, 2 baths
- **1,372 sqft**: 3+1 rooms, 4 baths (Dual-key ready)
- **1,407 sqft**: 3+1 rooms, 4 baths (Dual-key ready)
- **1,435 sqft**: 3+1 rooms, 4 baths (Dual-key ready)
- **1,478 sqft**: 3+1 rooms, 4 baths (Dual-key ready)
#### Sample Pricing Records
- **978 sqft (2+1 R)**: Nett price ~RM898,043 (~RM918 psf) [KB:FOcBd7dMZh2pU5cUZ0N0]
- **1,478 sqft (3+1 R)**: Nett price ~RM1,114,650 – RM1,147,011 (~RM769 – RM776 psf) [KB:64ZVa5ysNmru5d3rwXrW] [KB:FOcBd7dMZh2pU5cUZ0N0]
#### Key Financial Notes
- **Maintenance Fee**: RM0.39 psf inclusive of sinking fund (est. RM0.35 psf + 10% sinking fund) [KB:EM3llNRTQD8P7Efa3hCK] [KB:EqU9whEEj5ZXPfN2XSwf]
- **Car Parks**: 2 tandem carparks included (side-by-side for units above level 40)
- **Developer Packages**: Free SPA &amp; LA legal fees, disbursement fee, and foreign consent [KB:EqU9whEEj5ZXPfN2XSwf]</t>
        </is>
      </c>
    </row>
    <row r="8" ht="60" customHeight="1">
      <c r="A8" s="36" t="inlineStr">
        <is>
          <t>P01</t>
        </is>
      </c>
      <c r="B8" s="37" t="inlineStr">
        <is>
          <t>Damansara City Residency (DC Residensi)</t>
        </is>
      </c>
      <c r="C8" s="36" t="n">
        <v>23.9</v>
      </c>
      <c r="D8" s="37" t="inlineStr">
        <is>
          <t>chat-1249b7b1-b1b8-4a8d-a56e-32886fbca5ef</t>
        </is>
      </c>
      <c r="E8" s="25" t="inlineStr">
        <is>
          <t>### **Damansara City Residency (DC Residensi)**
**Project ID:** `UI9V4ibcLUMuYQkd5lQK`
---
### **Layout Details &amp; Availability**
| Layout | Size | Bedrooms | Nett Price | Gross Price | Status |
|---|---|---|---|---|---|
| **Type S1** | 904 sqft | 1 Bedroom | RM1,200,000 – RM1,350,000 | RM1,750,000 – RM1,800,000 | Available |
| **Type S2** | 904 sqft | 1 Bedroom | RM1,200,000 – RM1,350,000 | RM1,750,000 – RM1,800,000 | Available |
| **Type A1** | 1,163 sqft | 1 Bedroom + 1 | Sold Out | Not on record | Sold Out |
| **Type A2** | 1,152 sqft | 1 Bedroom + 1 | Sold Out | Not on record | Sold Out |
| **Type A3** | 1,194 sqft | 1 Bedroom + 1 | RM1,360,000 – RM1,460,000 | RM2,000,000 – RM2,100,000 | Available |
| **Type A4** | 1,184 sqft | 1 Bedroom + 1 | Sold Out | Not on record | Sold Out |
| **Type A5** | 1,163 sqft | 1 Bedroom + 1 | Sold Out | Not on record | Sold Out |
| **Type A6** | 1,152 sqft | 1 Bedroom + 1 | Sold Out | Not on record | Sold Out |
| **Type B1** | 1,668 sqft | 2 Bedrooms + 1 | Sold Out | Not on record | Sold Out |
| **Type B2** | 1,851 sqft | 2 Bedrooms + 1 + 1 | Sold Out | Not on record | Sold Out |
| **Type B3** | 1,862 sqft | 2 Bedrooms + 1 + 1 | Sold Out | Not on record | Sold Out |
| **Type B4** | 1,765 sqft | 2 Bedrooms + 1 | Sold Out | Not on record | Sold Out |
| **Type B5** | 1,668 sqft | 2 Bedrooms + 1 | Sold Out | Not on record | Sold Out |
| **Type B6** | 1,851 sqft | 2 Bedrooms + 1 | Sold Out | Not on record | Sold Out |
| **Type B7** | 1,862 sqft | 2 Bedrooms + 1 | Sold Out | Not on record | Sold Out |
| **Type C1** | 2,077 sqft | 3 Bedrooms + 1 | Sold Out | Not on record | Sold Out |
| **Type E1** | Not confirmed | 3 Bedrooms + 1 + 1 | Sold Out | Not on record | Sold Out |
| **Type E2** | 2,982 sqft | 3 Bedrooms + 1 | Not on record | Not on record | Available |
---
### **Project Specifications**
- **Area:** Pusat Bandar Damansara / Damansara Heights, Kuala Lumpur [KB:kn1I79YOvxo9ZE6GYjlX]
- **Developer:** Damansara City Sdn Bhd (a subsidiary of GuocoLand Malaysia) [KB:yzaSj7AkYTwXqOO7Clod]
- **Land Title:** Not on record
- **Tenure:** Freehold [KB:yzaSj7AkYTwXqOO7Clod] [KB:kn1I79YOvxo9ZE6GYjlX]
- **Maintenance Fee:** RM0.65 psf (inclusive of sinking fund) [KB:kn1I79YOvxo9ZE6GYjlX]
- **Total Units:** 370 units [KB:yzaSj7AkYTwXqOO7Clod] [KB:kn1I79YOvxo9ZE6GYjlX]
- **Total Floors:** 27 storeys (across 2 towers) [KB:yzaSj7AkYTwXqOO7Clod] [KB:kn1I79YOvxo9ZE6GYjlX]
- **Completion / Vacant Possession Date:** Completed in 2017 (Ready to Move In) [KB:yzaSj7AkYTwXqOO7Clod] [KB:ndRpoK1NlOAGROrt1Vc9]
---
### **Furnishing &amp; Car Park Allocation**
- **Furnishing &amp; Finishes:** Top-notch luxury finishings including Poggenpohl German kitchen cabinetry, Miele / Bosch German appliances, Gessi Emporio Italian sanitary fittings, marble flooring, and walnut parquet flooring [KB:kn1I79YOvxo9ZE6GYjlX].
- **Car Park Allocation:** [KB:kn1I79YOvxo9ZE6GYjlX]
  - 1 Bedroom &amp; 1+1 Bedrooms: 1 bay
  - 2+1 Bedrooms: 2 bays
  - 3+1 Bedrooms: 3 bays
  - Penthouses: 5 bays
---
### **Top Reasons to Buy**
1. **Prime Integrated Location:** Situated in prestigious Damansara Heights with direct access to DC Mall, Sofitel KL Damansara, and Grade-A office towers [KB:kn1I79YOvxo9ZE6GYjlX].
2. **Immediate Occupation &amp; High Returns:** Fully completed ready-to-move-in luxury units [KB:ndRpoK1NlOAGROrt1Vc9].
3. **Developer Packages:** Free SPA &amp; Loan Legal Fees, plus MOT coverage included [KB:kn1I79YOvxo9ZE6GYjlX].</t>
        </is>
      </c>
    </row>
    <row r="9" ht="60" customHeight="1">
      <c r="A9" s="36" t="inlineStr">
        <is>
          <t>P02</t>
        </is>
      </c>
      <c r="B9" s="37" t="inlineStr">
        <is>
          <t>PDH: Imperial Residences RA</t>
        </is>
      </c>
      <c r="C9" s="36" t="n">
        <v>29.9</v>
      </c>
      <c r="D9" s="37" t="inlineStr">
        <is>
          <t>chat-70568609-98d9-492e-9949-36ce406df2ee</t>
        </is>
      </c>
      <c r="E9" s="25" t="inlineStr">
        <is>
          <t>### **PDH: Imperial Residences RA - Project Details**
#### **Project Overview**
- **Area:** Damansara Heights [KB:5Dplw17VeIjwSRjP4qlk]
- **Developer:** 1 Pavilion Group (Jendela Mayang Sdn Bhd)
- **Land Title:** Commercial (HDA) [KB:5Dplw17VeIjwSRjP4qlk]
- **Tenure:** Freehold
- **Maintenance Fee:** Approx. RM0.88 psf (estimated) [KB:5Dplw17VeIjwSRjP4qlk]
- **Total Units:** Not on record
- **Total Floors:** Not on record
- **Expected Completion / Vacant Possession Date:** Q4 2029 (Forecasted 52 months from SPA date) [KB:5Dplw17VeIjwSRjP4qlk]
---
#### **Layout &amp; Pricing Details**
| Layout / Type | Size (sq.ft.) | Bedrooms | Nett Price | Gross Price | Status |
|---|---|---|---|---|---|
| **Type H1 (North Wing)** | 3,380 sq.ft. | 4+1 Bedrooms | RM5.05 mil – RM7.15 mil [KB:5Dplw17VeIjwSRjP4qlk] | RM5.47 mil – RM7.75 mil [KB:5Dplw17VeIjwSRjP4qlk] | Available |
| **Type H1a (South Wing)** | 3,380 sq.ft. | 4+1 Bedrooms (3 rooms + Studio Dual Key) | Not confirmed (under review) [KB:5Dplw17VeIjwSRjP4qlk] | RM5.17 mil – RM7.15 mil [KB:5Dplw17VeIjwSRjP4qlk] | Available |
| **Type H2 (North Wing)** | 4,090 sq.ft. | 4+1 Bedrooms | Not confirmed (under review) [KB:5Dplw17VeIjwSRjP4qlk] | Not confirmed (under review) [KB:5Dplw17VeIjwSRjP4qlk] | Available |
| **Type H2a (South Wing)** | 4,090 sq.ft. | 4+1 Bedrooms | RM6.12 mil – RM8.13 mil [KB:5Dplw17VeIjwSRjP4qlk] | RM6.64 mil – RM8.82 mil [KB:5Dplw17VeIjwSRjP4qlk] | Available |
| **Type IR1 (Penthouse)** | 7,459 sq.ft. | 5+1 Bedrooms | RM19.20 mil | RM19.20 mil | Available |
---
#### **Car Park Allocation**
- **Type H1 &amp; H1A (3,380 sq.ft.):** 1 single + 1 tandem (2 bays total)
- **Type H2 &amp; H2A (4,090 sq.ft.):** 2 single + 1 tandem (3 bays total)
- **Type IR1 Penthouse (7,459 sq.ft.):** 5 bays
---
#### **Furnishing &amp; Specifications**
- **Furnishing Status:** Semi-Furnished
- **Inclusions:**
  - Ducted centralised chilled water air-conditioners
  - Full bathrooms done up [KB:si3yi69ShP3oGdT1W4oA]
  - Dry kitchen with premium German-branded appliances (Bosch, Smeg, Franke, Kaldewei, Villeroy &amp; Boch) [KB:si3yi69ShP3oGdT1W4oA]
  - Wardrobes fitted in all rooms [KB:si3yi69ShP3oGdT1W4oA]
  - Digital lockset
  - Lanai (enclosed balcony) [KB:si3yi69ShP3oGdT1W4oA]
  - Private entrance lobby served by 2 lifts per unit [KB:si3yi69ShP3oGdT1W4oA]
---
#### **Top Reasons to Buy**
1. **Direct Integrated Convenience:** Pavilion Damansara Heights Mall is located right downstairs, giving residents direct access to daily necessities and dining without driving [KB:QAGzLmCJqkeBDWlHnZkj].
2. **High-End Privacy &amp; Exclusive Layouts:** Offers private lift lobbies, 2 private lifts per unit, enclosed Lanai balconies, and luxury German kitchen/bathroom fittings [KB:si3yi69ShP3oGdT1W4oA].
3. **Prestigious Location &amp; Views:** Located in Damansara Heights; units on Level 26 and above overlook One Menerung.
4. **Top Performing D2 Focus Project:** Prime luxury asset featured as a top-performing cross-sell project in 2026 [KB:5Dplw17VeIjwSRjP4qlk].</t>
        </is>
      </c>
    </row>
    <row r="10" ht="60" customHeight="1">
      <c r="A10" s="36" t="inlineStr">
        <is>
          <t>P03</t>
        </is>
      </c>
      <c r="B10" s="37" t="inlineStr">
        <is>
          <t>Bangsar Hill Park</t>
        </is>
      </c>
      <c r="C10" s="36" t="n">
        <v>35</v>
      </c>
      <c r="D10" s="37" t="inlineStr">
        <is>
          <t>chat-eb3b1ec0-447d-422c-85fa-18fb3910baf4</t>
        </is>
      </c>
      <c r="E10" s="25" t="inlineStr">
        <is>
          <t>### Details for Bangsar Hill Park (Project ID: NCrw4BbrKLOTyWhb4M5O)
#### Layouts
* **917 sqft** — 2 Bedrooms, 2 Bathrooms | Nett Price: Not on record | Gross Price: Not on record
* **978 sqft** — 2+1 Bedrooms, 2 Bathrooms | Nett Price: Not on record | Gross Price: Not on record
* **1,372 sqft** — 3+1 Bedrooms, 4 Bathrooms (Dual-key ready) | Nett Price: Not on record | Gross Price: Not on record
* **1,407 sqft** — 3+1 Bedrooms, 4 Bathrooms (Dual-key ready) | Nett Price: Not on record | Gross Price: Not on record
* **1,435 sqft** — 3+1 Bedrooms, 4 Bathrooms (Dual-key ready) | Nett Price: Not on record | Gross Price: Not on record
* **1,478 sqft** — 3+1 Bedrooms, 4 Bathrooms (Dual-key ready) | Nett Price: Not on record | Gross Price: Not on record
*(Note: Specific layout nett and gross total prices are not on record; overall pricing is listed from RM900 to RM1,000 psf [KB:0t17yp97hE6PpK2dtosA]. Phase 1 Tower D &amp; E are fully sold out, with only Bumi units remaining).* [KB:0t17yp97hE6PpK2dtosA]
#### Project Information
* **Area**: Lorong Maarof, Bangsar, Kuala Lumpur (400m to Bangsar LRT Station &amp; 450m to Bangsar Village Shopping Mall)
* **Developer**: Bangsar Hill Park Development Sdn Bhd (subsidiary of Suezcap / Suez Capital Sdn Bhd) [KB:0t17yp97hE6PpK2dtosA]
* **Land Title**: Residential Strata [KB:0t17yp97hE6PpK2dtosA]
* **Maintenance Fee**: RM0.39 psf (inclusive of sinking fund) [KB:EqU9whEEj5ZXPfN2XSwf]
* **Tenure**: Leasehold till 2119 [KB:EqU9whEEj5ZXPfN2XSwf]
* **Total Units**: 
  * Block B: 410 units
  * Block C: 392 units
  * Block D: 406 units [KB:0t17yp97hE6PpK2dtosA]
  * Block E: 406 units [KB:0t17yp97hE6PpK2dtosA]
  * Total overall project units: Not on record
* **Total Floors**: 
  * Block B: 57 storeys
  * Block C: 55 storeys
  * Block D: 57 storeys [KB:0t17yp97hE6PpK2dtosA]
  * Block E: 57 storeys [KB:0t17yp97hE6PpK2dtosA]
* **Completion / Vacant Possession Date**: 
  * Phase 1 (Block D &amp; E): Q2 2025 [KB:0t17yp97hE6PpK2dtosA]
  * Phase 2 (Talisa - Block B &amp; C): Q1 2028
* **Furnishing**: Includes signature kitchen with appliances (2-in-1 washer dryer, hood &amp; hob, oven by Electrolux or equivalent), full air-conditioning, full bathroom fittings, and digital lock [KB:EqU9whEEj5ZXPfN2XSwf].
* **Car Park Allocation**: All units come with 2 tandem car parks; units on floor 40 and above receive 2 side-by-side car parks [KB:EqU9whEEj5ZXPfN2XSwf].
#### Top Reasons to Buy [KB:0t17yp97hE6PpK2dtosA]
1. Located in the affluent, highly sought-after expatriate address of Bangsar.
2. Just 450m walk to Bangsar Village Shopping Mall and commercial hub.
3. Only 400m / 6-minute walk to Bangsar LRT station (1 stop to KL Sentral, 6 stops to KLCC).
4. Extensive resort-style and sky facilities over 280,000 sqft across phases.
5. Competitive entry price point of RM900–RM1,000 psf compared to surrounding Bangsar properties.</t>
        </is>
      </c>
    </row>
    <row r="11" ht="60" customHeight="1">
      <c r="A11" s="36" t="inlineStr">
        <is>
          <t>P04</t>
        </is>
      </c>
      <c r="B11" s="37" t="inlineStr">
        <is>
          <t>ViiA Residences</t>
        </is>
      </c>
      <c r="C11" s="36" t="n">
        <v>23</v>
      </c>
      <c r="D11" s="37" t="inlineStr">
        <is>
          <t>chat-f4668b13-fc3a-4ee2-bcc2-c676e5c09bee</t>
        </is>
      </c>
      <c r="E11" s="25" t="inlineStr">
        <is>
          <t>Here are the details on record for **ViiA Residences** (Project ID: `vrCj5QcxVPPXoH0wojLb`):
### **Layouts &amp; Pricing**
- **Type A2**: 689 sqft | 1 Bedroom, 1 Bathroom | Nett Price: RM903,000 – RM950,000 | Gross Price: RM1,350 psf [KB:vwoGdWVjMPWPeMEItiwV]
- **Type A5**: 636 sqft | 1 Bedroom, 1 Bathroom | Nett Price: RM877,000 | Gross Price: RM1,350 psf [KB:vwoGdWVjMPWPeMEItiwV]
- **Type A6**: 676 sqft | 1 Bedroom, 1 Bathroom | Nett Price: RM862,000 – RM922,000 | Gross Price: RM1,350 psf [KB:vwoGdWVjMPWPeMEItiwV]
- **Type B1**: 782 sqft | 1+1 Bedrooms, 1 Bathroom | Nett Price: RM1.03 Mil – RM1.06 Mil | Gross Price: RM1,350 psf [KB:vwoGdWVjMPWPeMEItiwV]
- **Type B3**: 797 sqft | 1+1 Bedrooms, 1 Bathroom | Nett Price: RM1.04 Mil – RM1.10 Mil | Gross Price: RM1,350 psf [KB:vwoGdWVjMPWPeMEItiwV]
### **Project Specifications**
- **Area**: KL Eco City, Kuala Lumpur [KB:FrVgEO3kzJw6UimskQ8o]
- **Developer**: S P Setia Berhad [KB:FrVgEO3kzJw6UimskQ8o]
- **Land Title**: Commercial (under HDA) [KB:FrVgEO3kzJw6UimskQ8o]
- **Tenure**: Leasehold [KB:FrVgEO3kzJw6UimskQ8o]
- **Maintenance Fee**: Est. RM0.35 psf (inclusive of sinking fund) [KB:FrVgEO3kzJw6UimskQ8o]
- **Total Units**: 326 units [KB:FrVgEO3kzJw6UimskQ8o]
- **Total Storeys**: 40 storeys [KB:FrVgEO3kzJw6UimskQ8o]
- **Completion / VP Date**: Completed September 2021 [KB:FrVgEO3kzJw6UimskQ8o]
- **Car Park Allocation**: 1 car park per unit [KB:FrVgEO3kzJw6UimskQ8o]
- **Furnishing**: Not on record
### **Top Reasons to Buy** [KB:tqKMDZRGgf0zFiC3NsBS]
1. **Reputable Developer**: Developed by S P Setia, a top listed developer in Malaysia.
2. **Direct Mall &amp; Rail Connectivity**: Direct link bridge to Mid Valley Megamall &amp; The Gardens Mall; integrated with LRT &amp; MRT stations.
3. **Central CBD Location**: Strategic access to Federal Highway, NPE, and MEX; 10–15 mins to KLCC, KL Sentral, and Bangsar South.
4. **Low Density**: Exclusive living with only 326 total units.
5. **Rooftop Lifestyle Facilities**: Sky infinity pool, gourmet lounge, gym, rock climbing wall, music shower spa, and yoga/dance space.</t>
        </is>
      </c>
    </row>
    <row r="12" ht="60" customHeight="1">
      <c r="A12" s="36" t="inlineStr">
        <is>
          <t>P05</t>
        </is>
      </c>
      <c r="B12" s="37" t="inlineStr">
        <is>
          <t>Enlace Suites @ Pantai Sentral Park</t>
        </is>
      </c>
      <c r="C12" s="36" t="n">
        <v>28.5</v>
      </c>
      <c r="D12" s="37" t="inlineStr">
        <is>
          <t>chat-f089ee0b-b327-4d70-9cca-779650fbd788</t>
        </is>
      </c>
      <c r="E12" s="25" t="inlineStr">
        <is>
          <t>Here are the details for **Enlace Suites @ Pantai Sentral Park** (Project ID: `322ca02408V4reUtNJj5`):
### Layout Breakdown
- **Type A / A(M) (Studio)**: 474 sqft | 0 Bedrooms | Gross Price: Not on record | Nett Price: Not on record | Status: Available
- **Type B**: 560 sqft | 1 Bedroom | Gross Price: Not on record | Nett Price: Not on record | Status: Available
- **Type C**: 797 sqft | 2 Bedrooms | Gross Price: Not on record | Nett Price: Not on record | Status: Available
- **Type D (Dual Key)**: 872 sqft | 2 Bedrooms | Gross Price: Not on record | Nett Price: Not on record | Status: Available
- **Type D1**: 872 sqft | 2 Bedrooms | Gross Price: Not on record | Nett Price: Not on record | Status: Available
- **Type E / E1**: 1,249 sqft | 3 Bedrooms | Gross Price: Not on record | Nett Price: Not on record | Status: Available
- **Type E Garden**: 1,249 sqft | 3 Bedrooms | Gross Price: Not on record | Nett Price: Not on record | Status: Available
- **Type G Garden**: 1,302 sqft | 3+1 Bedrooms | Gross Price: Not on record | Nett Price: Not on record | Status: Available
- **Type F**: 1,561 sqft | 4+1 Bedrooms | Gross Price: Not on record | Nett Price: Not on record | Status: Available
- **Type H Garden**: 1,733 sqft | 3+2 Bedrooms | Gross Price: Not on record | Nett Price: Not on record | Status: Available
*(Overall project selling price ranges from RM783,600 to RM2,321,800 / from RM1,147 psf onwards. Specific per-layout gross and nett prices are not on record.)*
### Key Project Details
- **Area**: Pantai Sentral Park, Kuala Lumpur (near Bangsar, Petaling Jaya &amp; KL City Centre) [KB:fkIknvBI1Rqt5PlJyBrh]
- **Developer**: Amona Development Sdn Bhd (Joint development with IJM Land) [KB:fkIknvBI1Rqt5PlJyBrh]
- **Land Title**: Commercial (Serviced Suites) [KB:fkIknvBI1Rqt5PlJyBrh]
- **Maintenance Fee**: RM0.50 psf (including sinking fund) [KB:uje0pJfrZpyNs4wh7olp] [KB:zsZ16Z1btQdlQgtzuG4V]
- **Tenure**: Leasehold 2123 (expiring 5 September 2123) [KB:fkIknvBI1Rqt5PlJyBrh]
- **Total Units**: 438 units (Enlace Suites 1) [KB:fkIknvBI1Rqt5PlJyBrh] [KB:zsZ16Z1btQdlQgtzuG4V]
- **Total Floors**: 41 floors (Levels 8–48 Residential, Levels 1–7 Parking/Facilities) [KB:fkIknvBI1Rqt5PlJyBrh] [KB:zsZ16Z1btQdlQgtzuG4V]
- **Completion / Vacant Possession Date**: Estimated September 2029 [KB:uje0pJfrZpyNs4wh7olp] [KB:fkIknvBI1Rqt5PlJyBrh]
- **Top Reasons to Buy**: Not on record
- **Furnishing**: Partially Furnished — includes kitchen cabinets (top &amp; bottom), hob &amp; hood, oven, refrigerator, washer &amp; dryer (selected types), air-conditioners, wardrobes (master &amp; 2nd bedroom), digital lockset, water heater system, plaster ceiling (selected areas), vanity top &amp; mirror, and bathtub (Type F only) [KB:uje0pJfrZpyNs4wh7olp] [KB:zsZ16Z1btQdlQgtzuG4V]
- **Car Park Allocation**: Per-unit allocation is not on record. Overall development includes 1,153 accessory parcel bays, 51 tandem bays, 31 visitor bays, 8 EV charging bays, 12 OKU bays, and 2 car wash bays [KB:uje0pJfrZpyNs4wh7olp]</t>
        </is>
      </c>
    </row>
    <row r="13" ht="60" customHeight="1">
      <c r="A13" s="36" t="inlineStr">
        <is>
          <t>P06</t>
        </is>
      </c>
      <c r="B13" s="37" t="inlineStr">
        <is>
          <t>The Lantern Bangsar</t>
        </is>
      </c>
      <c r="C13" s="36" t="n">
        <v>26.2</v>
      </c>
      <c r="D13" s="37" t="inlineStr">
        <is>
          <t>chat-bd69fbc9-b137-4098-8b7d-83a69c9794a2</t>
        </is>
      </c>
      <c r="E13" s="25" t="inlineStr">
        <is>
          <t>Here are the full details for **The Lantern Bangsar** [KB:z3EkItmn7uYiXy0Q7AuT]:
### Project Overview
- **Area:** Bangsar (Jalan Abdullah, Bangsar) [KB:z3EkItmn7uYiXy0Q7AuT]
- **Developer:** CDC (Taiwan Public Listed Company with 77 years of market experience; 10 years in Malaysia; built Capri by Fraser Hotel Bukit Bintang) [KB:z3EkItmn7uYiXy0Q7AuT], [KB:Mu38hPj7Bu8z3HzkWfQL]
- **Land Title:** Commercial Title under HDA [KB:fDWuf5Fk0s71l9X3xR1g]
- **Tenure:** Freehold [KB:fDWuf5Fk0s71l9X3xR1g], [KB:z3EkItmn7uYiXy0Q7AuT]
- **Maintenance Fee:** RM0.715 psf (RM0.65 psf + 10% sinking fund) [KB:z3EkItmn7uYiXy0Q7AuT]
- **Total Units:** 180 units (1 block) [KB:fDWuf5Fk0s71l9X3xR1g], [KB:z3EkItmn7uYiXy0Q7AuT]
- **Total Floors / Storeys:** 35 storeys [KB:z3EkItmn7uYiXy0Q7AuT]
- **Target Completion / VP Date:** December 2026 [KB:z3EkItmn7uYiXy0Q7AuT]
---
### Layout Details
*(Note: Overall gross indicative rate is RM1,400 psf. Specific total unit nett and gross prices per layout are not on record; please check with D2 sales admin for unit-level pricing.)*
1. **Type A1**
   - **Size:** 570 sqft
   - **Bedrooms:** 1 Bedroom, 1 Bathroom
   - **Gross Price:** Not on record
   - **Nett Price:** Not on record
   - **Status:** Available (not stated as sold out)
2. **Type A2**
   - **Size:** 561 sqft
   - **Bedrooms:** 1 Bedroom, 1 Bathroom
   - **Gross Price:** Not on record
   - **Nett Price:** Not on record
   - **Status:** Available (not stated as sold out)
3. **Type B**
   - **Size:** 765 sqft
   - **Bedrooms:** 2 Bedrooms, 1 Bathroom
   - **Gross Price:** Not on record
   - **Nett Price:** Not on record
   - **Status:** Available (not stated as sold out)
4. **Type C**
   - **Size:** 852 sqft
   - **Bedrooms:** 2 Bedrooms, 2 Bathrooms
   - **Gross Price:** Not on record
   - **Nett Price:** Not on record
   - **Status:** Available (not stated as sold out)
5. **Type D**
   - **Size:** 1,092 sqft (Convertible dual-key)
   - **Bedrooms:** 2 Bedrooms + 1 Studio, 3 Bathrooms
   - **Gross Price:** Not on record
   - **Nett Price:** Not on record
   - **Status:** Available (not stated as sold out)
---
### Car Park Allocation
- **Type A &amp; B:** 1 car park bay [KB:T6I7wB6mXxnYDXIZeAa9]
- **Type C:** 1 / 2 / tandem car park bays [KB:T6I7wB6mXxnYDXIZeAa9]
- **Type D:** 2 car park bays [KB:T6I7wB6mXxnYDXIZeAa9]
---
### Furnishing Package
- **Partly Furnished:** Full air-conditioning (Panasonic Inverter with nanoe™ X), full bathrooms (Villeroy &amp; Boch sanitaryware with mirror, shower screens, and vanity top), dry kitchen cabinet (Bofi) with quartz countertop, induction hood &amp; hob (Hafele), 600x600mm porcelain tiles in living area, engineered timber flooring in all bedrooms, 2.5m tall windows, and digital lock [KB:T6I7wB6mXxnYDXIZeAa9].
---
### Top Reasons to Buy
1. **Public Listed Developer:** Built by Taiwan Public Listed Company with 77 years of history, known for high quality workmanship (e.g. 55 Timeless Taipei near Taipei 101, Capri by Fraser Bukit Bintang) [KB:Mu38hPj7Bu8z3HzkWfQL].
2. **Prime Bangsar Address:** Official Bangsar address with convenient proximity to 3 major CBDs (KL Sentral, KL Eco City, and Bangsar South) [KB:Mu38hPj7Bu8z3HzkWfQL].
3. **Transit Accessibility:** Only 350m walk to Bangsar LRT Station [KB:Mu38hPj7Bu8z3HzkWfQL].
4. **Semi-D Concept &amp; All Corner Units:** Designed as semi-detached units in the sky with no dark rooms, featuring 2.5m tall windows and unblocked views [KB:fDWuf5Fk0s71l9X3xR1g], [KB:Mu38hPj7Bu8z3HzkWfQL].
5. **Exclusive Low Density:** Only 180 total units in a single 35-storey block [KB:fDWuf5Fk0s71l9X3xR1g].</t>
        </is>
      </c>
    </row>
    <row r="14" ht="60" customHeight="1">
      <c r="A14" s="36" t="inlineStr">
        <is>
          <t>P07</t>
        </is>
      </c>
      <c r="B14" s="37" t="inlineStr">
        <is>
          <t>One Eleven Menerung @ Bangsar</t>
        </is>
      </c>
      <c r="C14" s="36" t="n">
        <v>37.8</v>
      </c>
      <c r="D14" s="37" t="inlineStr">
        <is>
          <t>chat-39e6548c-dded-4cf8-a8b3-9efaadf37da6</t>
        </is>
      </c>
      <c r="E14" s="25" t="inlineStr">
        <is>
          <t>### One Eleven Menerung @ Bangsar (Project ID: LS3WGSiybvG85aMdGoVT)
#### Layout Details [KB:cK6kmEwogtIZDfJvbTBI]
* **Type M1:** 1,001 sqft | 2 Bedrooms, 2 Bathrooms | **Nett Price:** RM1.92Mil - RM2.28Mil | **Gross Price:** from RM1,960 psf | Available
* **Type M1-A:** 1,012 sqft | 2 Bedrooms, 2 Bathrooms | **Nett Price:** RM2.16Mil - RM2.19Mil | **Gross Price:** from RM2,180 psf | Available
* **Type M1-B:** 1,087 sqft | 2 Bedrooms, 2 Bathrooms | **Nett Price:** RM2.35Mil | **Gross Price:** RM2,200 psf | Available
* **Type M2:** 1,163 sqft | 2 Bedrooms, 2 Bathrooms | **Nett Price:** sold out | **Gross Price:** sold out | **SOLD OUT**
* **Type M3:** 1,378 sqft | 2 Bedrooms, 2 Bathrooms | **Nett Price:** RM2.7Mil | **Gross Price:** from RM2,040 psf | Available
* **Type L:** 3,714 sqft | 4 Bedrooms, 5 Bathrooms | **Nett Price:** RM6.4Mil - RM6.6Mil | **Gross Price:** from RM1,760 psf | Available
#### Project Information
* **Area:** Bangsar (between BSC &amp; Pavilion Damansara Heights, 180m walk to MRT Pavilion Damansara Heights) [KB:cK6kmEwogtIZDfJvbTBI] [KB:QkAX1XJXI8mgjIa4anfX]
* **Developer:** BRDB [KB:cK6kmEwogtIZDfJvbTBI]
* **Land Title:** not on record
* **Maintenance Fee:** not on record
* **Tenure:** Freehold [KB:cK6kmEwogtIZDfJvbTBI] [KB:QkAX1XJXI8mgjIa4anfX]
* **Total Units:** 111 exclusive units (low density) [KB:cK6kmEwogtIZDfJvbTBI] [KB:FLH7YWVQVYdQV2gHHVKB]
* **Total Floors:** 23 floors / storeys (1 tower) [KB:cK6kmEwogtIZDfJvbTBI] [KB:FLH7YWVQVYdQV2gHHVKB]
* **Completion / Vacant Possession Date:** Target Completion Q1 2027 [KB:cK6kmEwogtIZDfJvbTBI] [KB:FLH7YWVQVYdQV2gHHVKB]
#### Car Park Allocation [KB:FLH7YWVQVYdQV2gHHVKB]
* **1,001 sqft (Type M1):** 1 car park
* **1,163 sqft (Type M2):** 2 car parks
* **1,378 sqft (Type M3):** 2 car parks
* **3,714 sqft (Type L):** 3 car parks
*(Overall 1–3 car parks depending on unit size)*
#### Furnishing
* Partially furnished with original white walls [KB:AYKUj9MOYHBOLjOORagF].
* Includes: compressed marble flooring in living areas, engineered timber flooring in all bedrooms, ducted split-unit air-conditioning in living hall, split units in bedrooms, fully fitted kitchen cabinets &amp; appliances (fridge, oven, hob &amp; hood, 2-in-1 washer dryer), built-in wardrobes, full bathrooms with boiler water heater &amp; Villeroy &amp; Boch sanitary wares, and digital lock [KB:4ZtyCI1p57XsE7li8CHf].
#### Top Reasons to Buy [KB:FLH7YWVQVYdQV2gHHVKB] [KB:QkAX1XJXI8mgjIa4anfX]
1. **Master Developer Track Record:** Created by BRDB, the developer behind Bangsar Shopping Centre (BSC), Serai Bangsar, and One Menerung.
2. **Prestigious Location:** Situated in an upscale Bangsar neighbourhood popular among expats and affluent individuals.
3. **Walking Distance to Two Malls:** 300m walk to BSC Mall and short walk (~200m) to Pavilion Damansara Heights Mall &amp; MRT.
4. **True Exclusivity &amp; Privacy:** Freehold tenure with only 111 total units.
5. **Luxury Fittings:** High-grade marble, engineered timber flooring, German kitchen appliances (Miele &amp; Bosch), and Villeroy &amp; Boch bathroom fittings.</t>
        </is>
      </c>
    </row>
    <row r="15" ht="60" customHeight="1">
      <c r="A15" s="36" t="inlineStr">
        <is>
          <t>P08</t>
        </is>
      </c>
      <c r="B15" s="37" t="inlineStr">
        <is>
          <t>Pavilion Damansara Heights</t>
        </is>
      </c>
      <c r="C15" s="36" t="n">
        <v>44.9</v>
      </c>
      <c r="D15" s="37" t="inlineStr">
        <is>
          <t>chat-30c30bda-bb26-4a54-9b91-55d746133c48</t>
        </is>
      </c>
      <c r="E15" s="25" t="inlineStr">
        <is>
          <t>### Pavilion Damansara Heights — Full Project Details
#### 1. General Project Overview &amp; Details
- **Area:** Damansara Heights, Kuala Lumpur [KB:ydzZG1cR4OUt9y0IkotG]
- **Developer:** Impian Ekspresi Sdn Bhd / Jendela Mayang Sdn Bhd (Pavilion Group / 1 Pavilion Group) [KB:B5QzV2j9rYbEMsLHb84f, KB:pGJBu3xWUrLOi2NhL8ci]
- **Land Title:** Commercial Title under HDA (Serviced Apartments) [KB:pGJBu3xWUrLOi2NhL8ci, KB:5Dplw17VeIjwSRjP4qlk]
- **Tenure:** Freehold [KB:B5QzV2j9rYbEMsLHb84f]
- **Maintenance Fee:** 
  - Phase 1 (Windsor / Regent / Crown): R1 / R2 @ RM0.92 psf; R3 @ RM0.87 psf (inclusive of sinking fund) [KB:ydzZG1cR4OUt9y0IkotG]
  - Royal Suites (RC): Est. RM0.99 psf (inclusive of sinking fund) [KB:pGJBu3xWUrLOi2NhL8ci]
  - Imperial Residences (RA): Approx. RM0.88 psf (estimated) [KB:5Dplw17VeIjwSRjP4qlk]
- **Total Units:** 
  - Phase 1: 1,314 units (Windsor: 568, Regent: 582, Crown: 165) [KB:ydzZG1cR4OUt9y0IkotG]
  - Royal Suites (RC): 490 units [KB:4uKYz3bzVG37stwQlqoG]
  - Imperial Residences (RA): *not on record*
- **Total Floors:** 
  - Phase 1: *not on record*
  - Royal Suites (RC): 51 storeys [KB:4uKYz3bzVG37stwQlqoG]
  - Imperial Residences (RA): *not on record* (Penthouse on Level 46–48)
- **Completion / Vacant Possession (VP) Date:** 
  - Phase 1: Handover early 2025 [KB:ydzZG1cR4OUt9y0IkotG]
  - Royal Suites (RC): Planned for 2029 (52 months from SPA) [KB:pGJBu3xWUrLOi2NhL8ci]
  - Imperial Residences (RA): Q4 2029 (52 months from SPA) [KB:5Dplw17VeIjwSRjP4qlk]
#### 2. Top Reasons to Buy
- Direct seamless connection to Pavilion Damansara Heights MRT Station [KB:LPx5nmKY3mqMi6Olybr5]
- Directly integrated with a 1-million sq. ft. Pavilion Shopping Mall and a 500m gourmet boulevard [KB:LPx5nmKY3mqMi6Olybr5]
- Highly prestigious address in central Damansara Heights [KB:LPx5nmKY3mqMi6Olybr5]
- Luxury lifestyle amenities including on-demand concierge services, heated lap pools, social sphere, and grand entrance lobbies [KB:4uKYz3bzVG37stwQlqoG]
#### 3. Furnishing &amp; Car Park Allocation
- **Furnishing:**
  - Phase 1: Semi-furnished
  - Royal Suites (RC): Partial furnished (Digital door lock, centralized aircon, kitchen cabinet, Bosch hood &amp; hob, Smeg fridge, built-in oven, Bosch washer cum dryer, built-in wardrobes) [KB:pGJBu3xWUrLOi2NhL8ci]
  - Imperial Residences (RA): Semi-furnished with German branded appliances (Ducted centralized chilled water air-conditioning, fully fitted bathrooms, dry kitchen with appliances, wardrobes) [KB:si3yi69ShP3oGdT1W4oA]
- **Car Park Allocation:**
  - **Phase 1:**
    - Units &lt; 1,300 sq. ft.: 1 car park bay
    - Units 1,400 – 1,878 sq. ft.: 1 tandem bay
    - Units 2,303 sq. ft.: 1 tandem + 1 single bay
    - Units 2,803 sq. ft.: 3 single bays
  - **Royal Suites (RC):**
    - M2 (3 Bedrooms): 2 bays (1 tandem)
    - DK1 &amp; DK2 (Dual Key): 2 single bays
    - All other unit types: 1 single bay
  - **Imperial Residences (RA):**
    - Type H1 &amp; H1A (3,380 sq. ft.): 1 single + 1 tandem (2 bays)
    - Type H2 &amp; H2A (4,090 sq. ft.): 2 single + 1 tandem (3 bays)
    - Type IR1 Penthouse (7,459 sq. ft.): 5 bays
---
#### 4. Unit Layouts, Pricing &amp; Status
*(Note: No layouts are marked as sold out on record).* 
##### A. Phase 1 — Windsor Suites (R1 Sample Record)
- **R1/S-06-07 (Type D1):** 614 sq. ft. | 1 Bedroom | Gross Price: RM1,131,300 | Nett Price: RM905,040 [KB:CtKUds8950P3sNf26sqF]
- **R1/S-06-01 (Type D2):** 691 sq. ft. | 1 Bedroom | Gross Price: RM1,264,500 | Nett Price: RM1,011,600 [KB:CtKUds8950P3sNf26sqF]
- **R1/S-06-02 (Type D3 Cr):** 775 sq. ft. | 1 Bedroom | Gross Price: RM1,445,400 | Nett Price: RM1,156,320 [KB:CtKUds8950P3sNf26sqF]
- **R1/S-06-03 (Type D3 Cr F):** 775 sq. ft. | 1 Bedroom | Gross Price: RM1,381,500 | Nett Price: RM1,105,200 [KB:CtKUds8950P3sNf26sqF]
- **R1/S-06-3A (Type D4):** 808 sq. ft. | 1 Bedroom | Gross Price: RM1,394,100 | Nett Price: RM1,115,280 [KB:CtKUds8950P3sNf26sqF]
- **R1/S-06-05 (Type D5):** 826 sq. ft. | 1 Bedroom | Gross Price: RM1,437,300 | Nett Price: RM1,149,840 [KB:CtKUds8950P3sNf26sqF]
- **R1/S-06-06 (Type E1):** 988 sq. ft. | 2 Bedrooms | Gross Price: RM1,709,100 | Nett Price: RM1,367,280 [KB:CtKUds8950P3sNf26sqF]
##### B. Phase 2 — Royal Suites (RC)
- **Type S1:** 452 sq. ft. | Studio | Gross Price: *not on record* | Indicative Nett Price: RM890k – RM1.2mil+ [KB:ZLBKtp474DZv1Zk0wiCO, KB:1vsoNDDyqpKrMG45QMNi]
- **Type S2:** 538 sq. ft. | Studio | Gross Price: *not on record* | Indicative Nett Price: RM890k – RM1.2mil+ [KB:ZLBKtp474DZv1Zk0wiCO, KB:1vsoNDDyqpKrMG45QMNi]
- **Type J1:** 635 sq. ft. | 1+1 Bedrooms | Gross Price: *not on record* | Indicative Nett Price: RM1.0mil – RM1.8mil+ [KB:ZLBKtp474DZv1Zk0wiCO, KB:1vsoNDDyqpKrMG45QMNi]
- **Type J2:** 753 sq. ft. | 1+1 Bedrooms | Gross Price: *not on record* | Indicative Nett Price: RM1.0mil – RM1.8mil+ [KB:ZLBKtp474DZv1Zk0wiCO, KB:1vsoNDDyqpKrMG45QMNi]
- **Type J4:** 850 sq. ft. | 1+1 Bedrooms | Gross Price: *not on record* | Indicative Nett Price: RM1.0mil – RM1.8mil+ [KB:ZLBKtp474DZv1Zk0wiCO, KB:1vsoNDDyqpKrMG45QMNi]
- **Type J3:** 743 sq. ft. | 2 Bedrooms | Gross Price: *not on record* | Indicative Nett Price: RM1.4mil – RM1.6mil+ [KB:ZLBKtp474DZv1Zk0wiCO, KB:1vsoNDDyqpKrMG45QMNi]
- **Type M1:** 1,119 sq. ft. | 2+1 Bedrooms | Gross Price: *not on record* | Indicative Nett Price: RM2.0mil – RM2.3mil+ [KB:ZLBKtp474DZv1Zk0wiCO, KB:1vsoNDDyqpKrMG45QMNi]
- **Type M2:** 1,550 sq. ft. | 3+1 Bedrooms | Gross Price: *not on record* | Indicative Nett Price: RM2.7mil – RM3.3mil+ [KB:ZLBKtp474DZv1Zk0wiCO, KB:1vsoNDDyqpKrMG45QMNi]
- **Type DK1:** 1,302 sq. ft. | Dual Key | Gross Price: *not on record* | Nett Price: *not on record* [KB:1vsoNDDyqpKrMG45QMNi]
- **Type DK2:** 1,679 sq. ft. | Dual Key | Gross Price: RM3,472,000 – RM3,942,000 | Nett Price: RM3,167,454 – RM3,596,227 [KB:ZLBKtp474DZv1Zk0wiCO]
##### C. Phase 2 — Imperial Residences (RA)
- **Type H1 (North Wing):** 3,380 sq. ft. | 4+1 Bedrooms | Gross Price: RM5.47mil – RM7.75mil | Nett Price: RM5.05mil – RM7.15mil [KB:5Dplw17VeIjwSRjP4qlk]
- **Type H1A (South Wing):** 3,380 sq. ft. | 3 BR + Studio (Dual Key) | Gross Price: RM5.17mil – RM7.15mil | Nett Price: *not on record (under review)* [KB:5Dplw17VeIjwSRjP4qlk]
- **Type H2 (North Wing):** 4,090 sq. ft. | 4+1 Bedrooms | Gross Price: *not on record (under review)* | Nett Price: *not on record (under review)* [KB:5Dplw17VeIjwSRjP4qlk]
- **Type H2A (South Wing):** 4,090 sq. ft. | 4+1 Bedrooms | Gross Price: RM6.64mil – RM8.82mil | Nett Price: RM6.12mil – RM8.13mil [KB:5Dplw17VeIjwSRjP4qlk]
- **Type IR1 (Penthouse):** 7,459 sq. ft. | 5+1 Bedrooms | Gross Price: RM19.2mil | Nett Price: RM19.2mil [KB:5Dplw17VeIjwSRjP4qlk]</t>
        </is>
      </c>
    </row>
    <row r="16" ht="60" customHeight="1">
      <c r="A16" s="36" t="inlineStr">
        <is>
          <t>P09</t>
        </is>
      </c>
      <c r="B16" s="37" t="inlineStr">
        <is>
          <t>PDH: Royal Suites(RC)</t>
        </is>
      </c>
      <c r="C16" s="36" t="n">
        <v>34.9</v>
      </c>
      <c r="D16" s="37" t="inlineStr">
        <is>
          <t>chat-987e6cc8-e3d7-414a-81f2-b1e6252bbdd5</t>
        </is>
      </c>
      <c r="E16" s="25" t="inlineStr">
        <is>
          <t>Here are the full details for **Pavilion Damansara Heights: Royal Suites (RC)**:
### Layout Details
- **Type S1** (452 sqft | Suite): Nett price: Not on record | Gross price: Not on record | Status: Available
- **Type S2** (538 sqft | Suite): Nett price: Not on record | Gross price: Not on record | Status: Available
- **Type J1** (635 sqft | 1+1 Bedroom): Nett price: Not on record | Gross price: Not on record | Status: Available
- **Type J2** (753 sqft | 1+1 Bedroom): Nett price: Not on record | Gross price: Not on record | Status: Available
- **Type J4** (850 sqft | 1+1 Bedroom): Nett price: Not on record | Gross price: Not on record | Status: Available
- **Type J3** (743 sqft | 2 Bedrooms): Nett price: Not on record | Gross price: Not on record | Status: Available
- **Type M1** (1,119 sqft | 2+1 Bedrooms): Nett price: Not on record | Gross price: Not on record | Status: Available
- **Type M2** (1,550 sqft | 3+1 Bedrooms): Nett price: Not on record | Gross price: Not on record | Status: Available
- **Type DK1** (1,302 sqft | Dual Key): Nett price: Not on record | Gross price: Not on record | Status: Available
- **Type DK2** (1,679 sqft | Dual Key): Nett price: Not on record | Gross price: Not on record | Status: Available
*(Note: Overall project price starts from RM652,284, but per-layout gross/nett pricing breakdown is not on record).* 
### Project Details
- **Area**: Damansara Heights [KB:pGJBu3xWUrLOi2NhL8ci]
- **Developer**: Jendela Mayang Sdn Bhd (Pavilion Group) [KB:pGJBu3xWUrLOi2NhL8ci]
- **Land Title**: Commercial under HDA [KB:pGJBu3xWUrLOi2NhL8ci]
- **Tenure**: Freehold [KB:pGJBu3xWUrLOi2NhL8ci]
- **Maintenance Fee**: Est. RM0.99 psf (inclusive of sinking fund) [KB:pGJBu3xWUrLOi2NhL8ci]
- **Total Units**: 490 units [KB:pGJBu3xWUrLOi2NhL8ci]
- **Total Floors**: 51 storeys [KB:pGJBu3xWUrLOi2NhL8ci]
- **Expected Completion / VP Date**: Planned for 2029 (52 months from SPA) [KB:pGJBu3xWUrLOi2NhL8ci, KB:bexYwjeFRq46r7E4pkoA]
### Furnishing &amp; Car Park Allocation
- **Furnishing**: Partial furnished — includes digital door lock, centralized aircon, kitchen cabinet, Bosch hood &amp; hob, Smeg fridge, built-in oven, Bosch washer cum dryer, bathroom fittings, storage water heater, wardrobe, compressed marble flooring (living), and engineered timber flooring (bedrooms) [KB:pGJBu3xWUrLOi2NhL8ci].
- **Car Park Allocation**:
  - Type M2 (3+1 Bedrooms): 2 bays (1 tandem)
  - Type DK1 &amp; DK2 (Dual Key): 2 single bays
  - All other types (&lt;1,300 sqft): 1 single bay [KB:bexYwjeFRq46r7E4pkoA, KB:TOCvJTqwwMZsyqTTZzgW]
### Top Reasons to Buy
- **Integrated 4-in-1 Development**: Combines luxury residences, corporate offices, hotel, and direct lift access to 1 million sqft Pavilion Damansara Heights Mall [KB:XJDzC9pawj9PDGhZojVm].
- **Direct MRT Access**: Closest residential tower to Pavilion Damansara Heights MRT Station (2 stops to KL Sentral, 5 stops to TRX &amp; Bukit Bintang) [KB:4uKYz3bzVG37stwQlqoG, KB:XJDzC9pawj9PDGhZojVm].
- **Prestigious Address &amp; Facilities**: Iconic Damansara Heights location offering sky pool views, luxury Gaggenau/Bosch/Smeg fittings, and dedicated concierge services [KB:pGJBu3xWUrLOi2NhL8ci, KB:4uKYz3bzVG37stwQlqoG, KB:XJDzC9pawj9PDGhZojVm].</t>
        </is>
      </c>
    </row>
    <row r="17" ht="60" customHeight="1">
      <c r="A17" s="36" t="inlineStr">
        <is>
          <t>P10</t>
        </is>
      </c>
      <c r="B17" s="37" t="inlineStr">
        <is>
          <t>Pinnacle Bangsar Residence</t>
        </is>
      </c>
      <c r="C17" s="36" t="n">
        <v>28.9</v>
      </c>
      <c r="D17" s="37" t="inlineStr">
        <is>
          <t>chat-1bd770cd-33f5-438a-9bfa-b9b8c52848e6</t>
        </is>
      </c>
      <c r="E17" s="25" t="inlineStr">
        <is>
          <t>### Layout Details (Pinnacle Bangsar Residence)
* **Type A1**: 4,677 sq ft | 4+1 bedrooms | Nett Price: Not on record | Gross Price: Not on record (Pricing is offered by package from ~RM1,100 psf to ~RM1,300 psf [KB:SfybPFYqGBNQaVKQe6S8]) | Status: Available
* **Type A2**: 4,718 sq ft | 4+1 bedrooms | Nett Price: Not on record | Gross Price: Not on record (Pricing is offered by package from ~RM1,100 psf to ~RM1,300 psf [KB:SfybPFYqGBNQaVKQe6S8]) | Status: Available
* **Type B1 (Duplex)**: 7,942 sq ft | 6+1 bedrooms | Nett Price: Not on record | Gross Price: Not on record (Pricing is offered by package from ~RM1,100 psf to ~RM1,300 psf [KB:SfybPFYqGBNQaVKQe6S8]) | Status: Available
*Note: Lump-sum gross and nett total prices per unit are not on record.* 
---
### Project Specifications
* **Area**: Jalan Medang Kapas, Bangsar [KB:0wEHxV8AFCXJp3WLEtv3]
* **Developer**: Pinnacle Homes Group of Companies [KB:0wEHxV8AFCXJp3WLEtv3]
* **Land Title**: Not on record
* **Maintenance Fee**: RM0.38 psf (inclusive of sinking fund) [KB:0wEHxV8AFCXJp3WLEtv3]
* **Tenure**: Freehold [KB:0wEHxV8AFCXJp3WLEtv3]
* **Total Units**: 18 units (8 simplex, 8 duplex, 2 triplex) [KB:0wEHxV8AFCXJp3WLEtv3]
* **Total Floors**: 17 storeys (building structure) / 49 storeys on record [KB:0wEHxV8AFCXJp3WLEtv3], [KB:GyUCoecftaF9UvRRBr0z]
* **Completion / Vacant Possession Date**: Completed in 2022 (Build and Sell concept) [KB:0wEHxV8AFCXJp3WLEtv3]
* **Furnishing**: Offered in 3 option packages [KB:SfybPFYqGBNQaVKQe6S8]:
  * Package A: Bare unit (~RM1,100 psf)
  * Package B: With finishes (flooring, ceiling, AC grille &amp; ducting) (~RM1,200 psf)
  * Package C: With built-ins (kitchen, wardrobes, bed frames) (~RM1,300 psf)
* **Car Park Allocation**:
  * Simplex (Type A1 &amp; A2): 3 car park bays [KB:4Y9SStbif31Y7u3vljxv]
  * Duplex (Type B1 &amp; B2): 5 car park bays [KB:4Y9SStbif31Y7u3vljxv]
  * Triplex (Type C1 &amp; C2): 6 car park bays [KB:4Y9SStbif31Y7u3vljxv]
  * Total Development Parking: 79 lots (including 4 visitor lots) [KB:SfybPFYqGBNQaVKQe6S8]
---
### Top Reasons to Buy
1. **Prime Location**: Atop a hill in upscale Bangsar, highly favoured by expatriates and affluent buyers [KB:SfybPFYqGBNQaVKQe6S8].
2. **Exclusivity Redefined**: Highly private boutique development with only 18 ultra-luxury couture residences [KB:SfybPFYqGBNQaVKQe6S8].
3. **Luxurious Finishes**: High-end specifications including marble flooring in living areas, timber flooring in bedrooms, and Villeroy &amp; Boch sanitary fittings [KB:RyPKcjN6yy1C4YwRKFg6].
4. **Generous Space**: Over 4,000 sq ft of expansive living area per residence [KB:RyPKcjN6yy1C4YwRKFg6].
5. **Sky-High Duplex Living**: Soaring double-height ceilings in duplex units for elevated luxury.</t>
        </is>
      </c>
    </row>
    <row r="18" ht="60" customHeight="1">
      <c r="A18" s="36" t="inlineStr">
        <is>
          <t>P11</t>
        </is>
      </c>
      <c r="B18" s="37" t="inlineStr">
        <is>
          <t>Parkside Residences</t>
        </is>
      </c>
      <c r="C18" s="36" t="n">
        <v>25.9</v>
      </c>
      <c r="D18" s="37" t="inlineStr">
        <is>
          <t>chat-13f2b43d-d81f-4887-9525-7cb191bcbfd8</t>
        </is>
      </c>
      <c r="E18" s="25" t="inlineStr">
        <is>
          <t>### Parkside Residences — Project Details [Project ID: bWOuyI6cNAna1nweLHkC]
#### **Layout Summary**
- **Type A**: 485 sq.ft. | 1 flexi room, 1 bathroom | **Nett:** RM588,000 – RM760,000 | **Gross:** RM1,200 psf [KB:150CQpFGGil4I5zTRyut]
- **Type B**: 689 sq.ft. | 1 bedroom, 2 bathrooms | **Nett:** RM770,000 – RM860,000 | **Gross:** RM1,200 psf [KB:150CQpFGGil4I5zTRyut]
- **Type C / C1**: 646 sq.ft. | 2 bedrooms, 1–2 bathrooms | **Nett:** RM780,000 – RM840,000 | **Gross:** RM1,300 psf [KB:150CQpFGGil4I5zTRyut]
- **Type C2**: 732 sq.ft. | 2 bedrooms, 2 bathrooms | **Nett:** RM815,000 – RM860,000 | **Gross:** RM1,200 psf [KB:150CQpFGGil4I5zTRyut]
- **Type D1**: 872 sq.ft. | 2+1 bedrooms, 2 bathrooms | **Nett:** RM1,090,000 – RM1,100,000 | **Gross:** RM1,250 psf [KB:150CQpFGGil4I5zTRyut]
- **Type D2**: 926 sq.ft. | 2+1 bedrooms, 2 bathrooms, 1 balcony | **Nett:** RM1,180,000 – RM1,200,000 | **Gross:** RM1,300 psf [KB:150CQpFGGil4I5zTRyut]
- **Type D3**: 1,012 sq.ft. | 2+1 bedrooms, 2 bathrooms | **Nett:** RM1,250,000 – RM1,340,000 | **Gross:** RM1,300 psf [KB:150CQpFGGil4I5zTRyut]
- **Type E1**: 1,260 sq.ft. | 3 bedrooms, 2 bathrooms, 1 balcony | **Nett:** TBC | **Gross:** TBC
- **Type E2**: 1,325 sq.ft. | 3 bedrooms, 2 bathrooms, 1 balcony | **Nett:** RM1,600,000 – RM1,700,000 | **Gross:** RM1,300 psf
*(Note: No unit layouts are marked sold out on record.)*
---
#### **Key Property Facts**
- **Area:** Jalan Bangsar, Setia Federal Hill, Kuala Lumpur (400m covered walk to Bangsar LRT)
- **Developer:** Setia M S SFH Development Sdn Bhd (JV of SP Setia &amp; Mitsui Fudosan) [KB:U0LC1UsFCO2FhmxsHtTr]
- **Land Title:** Commercial under HDA (Serviced Residence, No Airbnb) [KB:w0LXcks8IRu3TmhBPGbT]
- **Maintenance Fee:** Est. RM0.50 psf [KB:150CQpFGGil4I5zTRyut]
- **Tenure:** Leasehold till 2116 (Developer attempting renewal for 95–99 years at VP) [KB:U0LC1UsFCO2FhmxsHtTr]
- **Total Units:** 693 residential units + 6 retail lots (not for sale) [KB:150CQpFGGil4I5zTRyut]
- **Total Floors:** 62 storeys [KB:U0LC1UsFCO2FhmxsHtTr]
- **Completion / VP Date:** Expected Q1 2030 (58 months in SPA) [KB:150CQpFGGil4I5zTRyut]
---
#### **Car Park Allocation &amp; Facilities**
- **Car Park Allocation:** 1 car park for 1-bedroom and 2-bedroom units; 2 car parks for 3-bedroom units [KB:U0LC1UsFCO2FhmxsHtTr]
- **Parking Structure:** Speed ramp every 2 floors, 7 elevated levels + 3 basement levels; 7 EV charger lots at B1 [KB:U0LC1UsFCO2FhmxsHtTr]
---
#### **Furnishing &amp; Package**
- **Furnishing:** Semi-furnished package including:
  - Full air-conditioners &amp; digital lock
  - Full kitchen cabinets with Bosch appliances (fridge, hood, induction hob)
  - Fully fitted bathrooms (Villeroy &amp; Boch, American Standard sanitary wares, built-in hot water, vanity top &amp; mirror)
  - Master bedroom wardrobe
---
#### **Top Reasons to Buy**
1. **Prime Location:** Setia Federal Hill enclave adjacent to Bangsar, KL Sentral, and Mid Valley.
2. **5-Acre Central Park Access:** Integrated direct access to 5 acres of central parkland + KL Botanical Garden and city skyline views.
3. **TOD Transit Convenience:** 400m covered walkway to Bangsar LRT station (1 stop to KL Sentral).
4. **Premier Joint-Venture Developer:** Collaboration between SP Setia (Malaysia) and Mitsui Fudosan (Japan).
5. **Low-Density &amp; Exclusive:** Serviced residence under HDA with strict residential privacy (No short-stay/Airbnb permitted) [KB:w0LXcks8IRu3TmhBPGbT].</t>
        </is>
      </c>
    </row>
    <row r="19" ht="60" customHeight="1">
      <c r="A19" s="36" t="inlineStr">
        <is>
          <t>P12</t>
        </is>
      </c>
      <c r="B19" s="37" t="inlineStr">
        <is>
          <t>Rhombus</t>
        </is>
      </c>
      <c r="C19" s="36" t="n">
        <v>25.9</v>
      </c>
      <c r="D19" s="37" t="inlineStr">
        <is>
          <t>chat-a4d08ae7-397c-4dfa-83b5-ad75be5b699f</t>
        </is>
      </c>
      <c r="E19" s="25" t="inlineStr">
        <is>
          <t>Here are the available project details for **Rhombus** (Project ID: `eGsxriHHrJTsyX9nCHNc`):
- **Layouts &amp; Pricing**:
  - **Per-Layout Structured Table**: Not on record.
  - **Size**: 3,700 – 3,800 sqft (2 types, varied by balcony size) [KB:EJlKTBJNaJMI2zy6KIb0]
  - **Bedrooms**: 4+1 bedrooms (all 4 bedrooms en-suite) [KB:lECEiopeRC1IGudnABnb]
  - **Pricing**: Level 1–3: RM6,100,000; Level 3A: RM6,150,000 [KB:inQXUQNvyh0q1AdwYhs7]
  - **Nett Price / Gross Price**: Not on record
  - **Availability**: Level 1 to Level 4 available; Level 5 and above are sold out [KB:EJlKTBJNaJMI2zy6KIb0]
- **Area**: Bangsar [KB:EJlKTBJNaJMI2zy6KIb0]
- **Developer**: Benéton Properties Sdn Bhd [KB:EJlKTBJNaJMI2zy6KIb0]
- **Land Title**: Freehold Residential [KB:EJlKTBJNaJMI2zy6KIb0]
- **Maintenance Fee**: RM0.70 psf [KB:EJlKTBJNaJMI2zy6KIb0]
- **Tenure**: Freehold [KB:EJlKTBJNaJMI2zy6KIb0]
- **Total Units**: 25 units [KB:EJlKTBJNaJMI2zy6KIb0]
- **Total Floors**: Not on record
- **Completion / VP Date**: Completed (12 years completed / 2014) [KB:EJlKTBJNaJMI2zy6KIb0]
- **Top Reasons to Buy**: Not on record
- **Furnishing**: Partially furnished (Even floors: Light theme; Odd floors: Dark theme) [KB:EJlKTBJNaJMI2zy6KIb0]
- **Car Park Allocation**: 3 car parks per unit (some tandem) [KB:EJlKTBJNaJMI2zy6KIb0]</t>
        </is>
      </c>
    </row>
    <row r="20" ht="60" customHeight="1">
      <c r="A20" s="36" t="inlineStr">
        <is>
          <t>P13</t>
        </is>
      </c>
      <c r="B20" s="37" t="inlineStr">
        <is>
          <t>Riana Trees Residences</t>
        </is>
      </c>
      <c r="C20" s="36" t="n">
        <v>30.3</v>
      </c>
      <c r="D20" s="37" t="inlineStr">
        <is>
          <t>chat-c15c8cc2-111c-485c-b695-8e59700db9d6</t>
        </is>
      </c>
      <c r="E20" s="25" t="inlineStr">
        <is>
          <t>Here are the full details for **Riana Trees Residences** (Project ID: `DxbnSBKiLX5934ds64PR`):
### Unit Layouts
* **Type A (Intermediate)**
  * **Size**: 900 sq ft [KB:Q1IvCZrywEQzcEsFaHcu, KB:ZVqX68JZZ4f2JDj6JKaW]
  * **Bedrooms**: 3 Bedrooms / 2 Bathrooms [KB:Q1IvCZrywEQzcEsFaHcu, KB:ZVqX68JZZ4f2JDj6JKaW]
  * **Price**: Starting from RM620,000 (Bumi) / RM650,000 (Non-Bumi) [KB:CiT8WEvYtAhsYkfo7saJ, KB:ZVqX68JZZ4f2JDj6JKaW]
  * **Nett vs. Gross Price Breakdown**: Separate gross and nett pricing tables per unit layout are not on record (rebates noted as 9% + 1% at Stage 2A [KB:5y4Iy7Yc3DZLDQBuLoMN]).
  * **Status**: Available
* **Type B (Corner Lot)**
  * **Size**: 955 sq ft [KB:Q1IvCZrywEQzcEsFaHcu, KB:ZVqX68JZZ4f2JDj6JKaW]
  * **Bedrooms**: 3 Bedrooms / 2 Bathrooms [KB:Q1IvCZrywEQzcEsFaHcu, KB:ZVqX68JZZ4f2JDj6JKaW]
  * **Price**: Starting from RM753,000 [KB:ZVqX68JZZ4f2JDj6JKaW]
  * **Nett vs. Gross Price Breakdown**: Separate gross and nett pricing tables per unit layout are not on record.
  * **Status**: Available
---
### Project Details
* **Area**: Pantai Sentral Park, Klang Valley's Golden Triangle (neighboring Bangsar South) [KB:5y4Iy7Yc3DZLDQBuLoMN, KB:Q1IvCZrywEQzcEsFaHcu]
* **Developer**: Amona Development Sdn Bhd (JV with IJM Land) [KB:ZVqX68JZZ4f2JDj6JKaW]
* **Land Title**: Residential (under HDA) [KB:ZVqX68JZZ4f2JDj6JKaW]
* **Maintenance Fee**: RM 0.35 psf + 10% sinking fund [KB:5y4Iy7Yc3DZLDQBuLoMN, KB:ZVqX68JZZ4f2JDj6JKaW]
* **Tenure**: Leasehold (renewed for 99 years) [KB:ZVqX68JZZ4f2JDj6JKaW]
* **Total Units**: 336 units [KB:5y4Iy7Yc3DZLDQBuLoMN, KB:Q1IvCZrywEQzcEsFaHcu, KB:ZVqX68JZZ4f2JDj6JKaW]
* **Total Floors**: 33 floors [KB:Q1IvCZrywEQzcEsFaHcu]
* **Completion / VP Date**: Q4 2026 [KB:ZVqX68JZZ4f2JDj6JKaW, KB:CiT8WEvYtAhsYkfo7saJ]
* **Furnishing**: Non-furnished / Bare units [KB:ZVqX68JZZ4f2JDj6JKaW]
* **Car Park Allocation**: 2 car park bays per unit [KB:5y4Iy7Yc3DZLDQBuLoMN, KB:Q1IvCZrywEQzcEsFaHcu, KB:ZVqX68JZZ4f2JDj6JKaW]
---
### Top Reasons to Buy
1. **Low Density**: Only 100 units per acre (336 total units, 12 units per floor) [KB:5y4Iy7Yc3DZLDQBuLoMN, KB:Q1IvCZrywEQzcEsFaHcu].
2. **Strategic Location**: Set within the 58-acre Pantai Sentral Park township next to Bangsar South, with access to NPE and proximity to the proposed MRT3 Circle Line [KB:5y4Iy7Yc3DZLDQBuLoMN, KB:Q1IvCZrywEQzcEsFaHcu].
3. **Nature-Inspired Living**: Fully residential HDA development surrounded by forest greenery with dual views of forest or city [KB:Q1IvCZrywEQzcEsFaHcu, KB:ZVqX68JZZ4f2JDj6JKaW].</t>
        </is>
      </c>
    </row>
    <row r="21" ht="60" customHeight="1">
      <c r="A21" s="36" t="inlineStr">
        <is>
          <t>P14</t>
        </is>
      </c>
      <c r="B21" s="37" t="inlineStr">
        <is>
          <t>Residensi 38 Bangsar</t>
        </is>
      </c>
      <c r="C21" s="36" t="n">
        <v>35.4</v>
      </c>
      <c r="D21" s="37" t="inlineStr">
        <is>
          <t>chat-36b55958-ba91-415c-892a-6195bbc29602</t>
        </is>
      </c>
      <c r="E21" s="25" t="inlineStr">
        <is>
          <t>Here are the full details for **Residensi 38 Bangsar** (Project ID: `QiQthTM3nC4SqWnST1Q6`):
### Layout Details
* **Type A1**: 580 sqft | Bedrooms: Studio | Gross Price: Not on record | Nett Price: Not on record | **Sold Out** [KB:ERmt8Ezgyvreco31e3Ml, KB:hNHTXPPPSitIOHerHKUX]
* **Type A2**: 720 sqft | Bedrooms: Not on record | Gross Price: Not on record | Nett Price: Not on record | Available
* **Type A3**: 635 sqft | Bedrooms: Not on record | Gross Price: Not on record | Nett Price: Not on record | **Sold Out** [KB:hNHTXPPPSitIOHerHKUX]
* **Type B**: 1,045 sqft | Bedrooms: 3 rooms [KB:ERmt8Ezgyvreco31e3Ml] | Gross Price: Not on record | Nett Price: Not on record | Available
* **Type C**: 965 sqft | Bedrooms: Not on record | Gross Price: Not on record | Nett Price: Not on record | Available
* **Type C1**: 960 sqft | Bedrooms: Not on record | Gross Price: Not on record | Nett Price: Not on record | Available
* **Type D**: 1,185 sqft | Bedrooms: Not on record | Gross Price: Not on record | Nett Price: Not on record | Available
* **Type E**: 1,442 sqft | Bedrooms: Not on record | Gross Price: Not on record | Nett Price: Not on record | Available
* **Type F**: 1,225 sqft | Bedrooms: Not on record | Gross Price: Not on record | Nett Price: Not on record | Available
*(Note: Specific unit-by-unit gross and nett ringgit prices are not on record; overall project pricing is quoted at approx. RM970 psf nett with a 25% SPA rebate [KB:9y6Ze1dOE5YpG1Y0K1Rd, KB:ERmt8Ezgyvreco31e3Ml]).*
--- 
### Project Information
* **Area**: Bangsar, Kuala Lumpur [KB:hNHTXPPPSitIOHerHKUX]
* **Developer**: ONE JSI Development Sdn Bhd / UDA Property JV [KB:hNHTXPPPSitIOHerHKUX]
* **Land Title**: Not on record
* **Maintenance Fee**: RM0.50 psf (inclusive of sinking fund) [KB:ERmt8Ezgyvreco31e3Ml]
* **Tenure**: Leasehold 2121 (refreshed 99-year lease, ~96 years remaining) [KB:9y6Ze1dOE5YpG1Y0K1Rd]
* **Total Units**: 281 units (278 residential units) [KB:ERmt8Ezgyvreco31e3Ml]
* **Total Floors**: 38 storeys [KB:ERmt8Ezgyvreco31e3Ml]
* **Completion / Vacant Possession Date**: Q3 2025 [KB:9y6Ze1dOE5YpG1Y0K1Rd, KB:hNHTXPPPSitIOHerHKUX]
* **Top Reasons to Buy**:
  1. Closest new project to Bangsar LRT Station (directly opposite) [KB:9y6Ze1dOE5YpG1Y0K1Rd]
  2. Prestigious official Bangsar address [KB:ERmt8Ezgyvreco31e3Ml]
  3. Low density boutique development (278 units on 1.16 acres) [KB:ERmt8Ezgyvreco31e3Ml]
  4. Competitive pricing (~RM970 psf nett post 25% SPA rebate) [KB:ERmt8Ezgyvreco31e3Ml]
  5. Premium fittings (Villeroy &amp; Boch sanitaryware, hotel-style ducted air-conditioning in living area) [KB:9y6Ze1dOE5YpG1Y0K1Rd]
* **Furnishing**: Full air-conditioning (ducted in living hall, split units in bedrooms) and full kitchen fittings [KB:9y6Ze1dOE5YpG1Y0K1Rd]
* **Car Park Allocation**: Smaller units receive 1 car park; larger units receive 2 car parks (side-by-side) [KB:ERmt8Ezgyvreco31e3Ml]</t>
        </is>
      </c>
    </row>
    <row r="22" ht="60" customHeight="1">
      <c r="A22" s="36" t="inlineStr">
        <is>
          <t>P15</t>
        </is>
      </c>
      <c r="B22" s="37" t="inlineStr">
        <is>
          <t>Lunar Seputeh</t>
        </is>
      </c>
      <c r="C22" s="36" t="n">
        <v>37.8</v>
      </c>
      <c r="D22" s="37" t="inlineStr">
        <is>
          <t>chat-01e1a3f9-3fa6-4105-aaae-e3db57c3f87d</t>
        </is>
      </c>
      <c r="E22" s="25" t="inlineStr">
        <is>
          <t>Here are the details for **Lunar Seputeh** based on official D2 project records:
### Layout Breakdown
- **Type A**: 683 sqft | 1+1 Bedrooms, 1 Bathroom | Gross Price: RM607,800 – RM643,800 | Nett Price: Not on record | Status: Available
- **Type B1 / B1A**: 841 sqft | 2 Bedrooms, 2 Bathrooms | Gross Price: RM752,800 – RM795,800 | Nett Price: Not on record | Status: Available
- **Type B2**: 930 sqft | 3 Bedrooms, 2 Bathrooms | Gross Price: RM845,800 – RM875,800 | Nett Price: Not on record | Status: Available
- **Type C1**: 1,280 sqft | 3 Bedrooms, 3+1 Bathrooms (Dual Key) | Gross Price: RM1,112,800 – RM1,158,800 | Nett Price: Not on record | Status: Available
- **Type C2 / C2A**: 1,280 sqft | 3 Bedrooms, 3+1 Bathrooms | Gross Price: RM1,101,800 – RM1,140,800 | Nett Price: Not on record | Status: Available
- **Type D**: 1,646 sqft | 4+1 Bedrooms, 4+1 Bathrooms | Gross Price: RM1,416,800 – RM1,453,800 | Nett Price: Not on record | Status: Available
### Project Specifications
- **Area**: Seputeh (Jalan Telok Datok, Off Jalan Klang Lama, Kuala Lumpur) [KB:NEsZFznN5W1yR6ORoGa1]
- **Developer**: MRCB Seputeh Land Sdn Bhd (subsidiary of MRCB) [KB:NEsZFznN5W1yR6ORoGa1]
- **Land Title**: Residential [KB:NEsZFznN5W1yR6ORoGa1] [KB:vUKaK1fxUdWIYje0xnlI]
- **Maintenance Fee**: Not on record (TBC) [KB:vUKaK1fxUdWIYje0xnlI]
- **Tenure**: Leasehold 99 years (expiring 11 May 2113) [KB:NEsZFznN5W1yR6ORoGa1] [KB:vUKaK1fxUdWIYje0xnlI]
- **Total Units**: 483 units [KB:NEsZFznN5W1yR6ORoGa1] [KB:vUKaK1fxUdWIYje0xnlI]
- **Total Floors**: 50 storeys (1 tower) [KB:NEsZFznN5W1yR6ORoGa1] [KB:vUKaK1fxUdWIYje0xnlI]
- **Completion / VP Date**: Q4 2030 [KB:NEsZFznN5W1yR6ORoGa1] [KB:vUKaK1fxUdWIYje0xnlI]
- **Furnishing**: Not on record
- **Car Park Allocation**: [KB:vUKaK1fxUdWIYje0xnlI]
  - Type A: 1 car park
  - Type B1 / B1A: 2 car parks
  - Type B2: 2 car parks
  - Type C1: 3 car parks
  - Type C2 / C2A: 3 car parks
  - Type D: 3 car parks
### Top Reasons to Buy [KB:FE6V2N2FD3vsEecZuzeO] [KB:K5MI5C7WJEkpDt2LzfUI]
1. **Affluent Location**: Surrounded by Mid Valley, Seputeh, Taman Desa, Bangsar, and Bangsar South.
2. **Riverside Park &amp; Boulevard**: Direct access to a 1km–2km riverside park and promenade boulevard.
3. **Proximity to Key Destinations**: 500m to Mid Valley Megamall, The Gardens, KL Eco City, and Bangsar South.
4. **Highway Access**: Direct access to the NPE highway, plus connection to Federal Highway and Sg Besi.
5. **Low Density**: 483 units across 2.32 acres (208 units per acre).
6. **Family-Friendly Layouts**: Practical unit sizes ranging from 683 sqft to 1,646 sqft.
7. **Extensive Facilities**: 75 facility offerings including pet-friendly features (Paw Haven).</t>
        </is>
      </c>
    </row>
    <row r="23" ht="60" customHeight="1">
      <c r="A23" s="36" t="inlineStr">
        <is>
          <t>P16</t>
        </is>
      </c>
      <c r="B23" s="37" t="inlineStr">
        <is>
          <t>Sentral Suites @ KL Sentral</t>
        </is>
      </c>
      <c r="C23" s="36" t="n">
        <v>44.9</v>
      </c>
      <c r="D23" s="37" t="inlineStr">
        <is>
          <t>chat-e3a4206d-b38c-414d-b7ce-a8ff12c4d28a</t>
        </is>
      </c>
      <c r="E23" s="25" t="inlineStr">
        <is>
          <t>### Sentral Suites @ KL Sentral — Project Details
**Project Overview &amp; Key Facts:**
- **Area:** KL Sentral [KB:7A0IhjLXTFwJ7yPx3aKg]
- **Developer:** MRCB (Master Developer of KL Sentral) [KB:7A0IhjLXTFwJ7yPx3aKg]
- **Land Title:** Commercial under HDA (Housing Development Act) [KB:7A0IhjLXTFwJ7yPx3aKg]
- **Tenure:** Leasehold (99 Years expiring 25 Sept 2115) [KB:7ydiY1QJjv4Z10yrb6X4]
- **Maintenance Fee:** RM0.55 psf (inclusive of sinking fund) [KB:7A0IhjLXTFwJ7yPx3aKg]
- **Total Units:** 1,434 units (Tower 1: 458, Tower 2: 458, Tower 3: 518) [KB:7ydiY1QJjv4Z10yrb6X4]
- **Total Floors:** 43 storeys per tower
- **Completion / Vacant Possession Date:** Completed [KB:7A0IhjLXTFwJ7yPx3aKg]
---
**Layouts, Pricing &amp; Car Park Allocation:**
*(Note: A detailed per-layout unit availability table with individual nett/gross prices and sold-out status per unit type is **not on record**. However, overall tower price ranges and layout details on record are listed below.)*
- **Rebate Package:** 25% rebate (Nett Price = SPA Gross Price minus 25% rebate).
- **Gross Price Range by Tower** [KB:7ydiY1QJjv4Z10yrb6X4]:
  - Tower 1: RM 728,800 – RM 1,299,800
  - Tower 2: RM 841,800 – RM 1,572,800
  - Tower 3: RM 804,800 – RM 1,367,800
- **Layout Types &amp; Car Park Allocation** [KB:HTa0JFgLnAfAT1IbO59V] [KB:7ydiY1QJjv4Z10yrb6X4]:
  - **Type A (650 sf, 1 Bedroom):** 1 / 2 / Tandem car parks | Nett &amp; Gross price per unit: *not on record* | Sold out status: *not on record*
  - **Type A1 (653 sf):** 1 / 2 car parks | Nett &amp; Gross price per unit: *not on record* | Sold out status: *not on record*
  - **Type Corner A (724 sf):** 1 / 2 / Tandem car parks | Nett &amp; Gross price per unit: *not on record* | Sold out status: *not on record*
  - **Type Corner A1 (765 sf):** 1 / 2 / Tandem car parks | Nett &amp; Gross price per unit: *not on record* | Sold out status: *not on record*
  - **Type B (826 sf, 2+Study):** 1 / 2 car parks | Nett &amp; Gross price per unit: *not on record* | Sold out status: *not on record*
  - **Type B1 (868 sf):** 1 / 2 car parks | Nett &amp; Gross price per unit: *not on record* | Sold out status: *not on record*
  - **Type B2 (812 sf):** 1 / 2 car parks | Nett &amp; Gross price per unit: *not on record* | Sold out status: *not on record*
  - **Type Corner C (1,025 sf, 3 Bedrooms):** 2 car parks | Nett &amp; Gross price per unit: *not on record* | Sold out status: *not on record*
  - **Type C (1,138 sf):** 2 car parks | Nett &amp; Gross price per unit: *not on record* | Sold out status: *not on record*
  - **Type Corner D (1,166 sf):** 2 car parks | Nett &amp; Gross price per unit: *not on record* | Sold out status: *not on record*
---
**Furnishing:**
Partly Furnished package includes:
- Full air-conditioners throughout unit
- Full kitchen cabinet (top &amp; bottom) by Signature Kitchen
- Hood &amp; hob
- 2-in-1 washer dryer
- Full bathrooms with built-in water heater &amp; shower screen
---
**Top Reasons to Buy** [KB:7A0IhjLXTFwJ7yPx3aKg]:
1. **Best Transport Hub in ASEAN:** Direct access to 10 train lines (MRT, LRT, KTM, ERL, Monorail) linking 180 stations with &gt;200,000 daily commuters.
2. **72-Acre Integrated Township:** Township includes 21 office towers, 5 hotels, 4 residential areas, and NU Sentral shopping mall.
3. **KL's 2nd Largest CBD:** Corporate hub housing Google, Facebook, Shell, Allianz, PwC, and major MNCs.
4. **High Rental Demand:** Strong tenant base of expats and professionals yielding ~5%+ returns (rents RM3,000–RM5,000/month).
5. **Scarce Small-Unit Supply:** High demand and limited supply of 600–1,000 sq. ft. units in KL Sentral.
6. **Last Residential Plot in KL Sentral:** Final residential site in the 72-acre master plan.
7. **Surrounded by Affluent Neighborhoods:** Close to Bangsar, Damansara Heights, Seputeh, and Mont Kiara.
8. **Excellent Accessibility:** Central location provides effortless connectivity by road and rail.</t>
        </is>
      </c>
    </row>
    <row r="24" ht="60" customHeight="1">
      <c r="A24" s="36" t="inlineStr">
        <is>
          <t>P17</t>
        </is>
      </c>
      <c r="B24" s="37" t="inlineStr">
        <is>
          <t>The Cedar Damansara Heights</t>
        </is>
      </c>
      <c r="C24" s="36" t="n">
        <v>25</v>
      </c>
      <c r="D24" s="37" t="inlineStr">
        <is>
          <t>chat-90659f60-436d-4504-8488-9763dbbc44d5</t>
        </is>
      </c>
      <c r="E24" s="25" t="inlineStr">
        <is>
          <t>### **The Cedar Damansara Heights — Project Overview**
* **Area:** Jalan Setia Kasih, Damansara Heights [KB:ekNzwDB5rKUziEUMPSTs]
* **Developer:** Satin Magic Sdn Bhd by Datuk Jagan Sabapathy (managed by Tribeca Real Estate Management Sdn Bhd) [KB:ekNzwDB5rKUziEUMPSTs]
* **Tenure:** Freehold [KB:ekNzwDB5rKUziEUMPSTs]
* **Land Title:** Strata title (Residential) [KB:ZYBAFkwHC8cjOi5IHcLf]
* **Total Units:** 70 units (4.2-acre site) [KB:ekNzwDB5rKUziEUMPSTs]
* **Total Floors:** Not on record
* **Expected Completion / VP Date:** Expected Q3 2025 [KB:ZYBAFkwHC8cjOi5IHcLf]
* **Maintenance Fee:** Starting from RM0.66 psf (+ 10% sinking fund) [KB:ZYBAFkwHC8cjOi5IHcLf]
* **Car Park Allocation:** 3 to 9 parking slots (depending on unit type); includes 1 AC EV Charger per unit [KB:ZYBAFkwHC8cjOi5IHcLf]
* **Top Reasons to Buy:** Not on record
---
### **Layouts &amp; Unit Types** [KB:ekNzwDB5rKUziEUMPSTs]
*The project record does not have a detailed `unitTypes` inventory table on record for per-unit nett prices, gross prices, or individual unit sold-out status. Below are the recorded layout sizes and configurations along with available price samples:* [KB:ekNzwDB5rKUziEUMPSTs]
* **Type A1:** 3,461 sq ft (3+1 Bedrooms) — *Nett/Gross price &amp; sold-out status: Not on record*
* **Type A2:** 3,554 sq ft (3+1 Bedrooms) — *Nett/Gross price &amp; sold-out status: Not on record*
* **Type A:** 7,169 sq ft (4+1 Bedrooms) — *Gross asking price sample: RM14,796,816 (Level 5); Nett price &amp; sold-out status: Not on record* [KB:ekNzwDB5rKUziEUMPSTs]
* **Type B1:** 4,852 sq ft (4+1 Bedrooms) — *Gross asking price sample: RM9,262,468 (Level 1) / RM9,398,324 (Level 2); Nett price &amp; sold-out status: Not on record* [KB:ekNzwDB5rKUziEUMPSTs]
* **Type B2:** 3,516 sq ft (4+1 Bedrooms) — *Nett/Gross price &amp; sold-out status: Not on record*
* **Type B:** 5,958 sq ft (4+1 Bedrooms) — *Nett/Gross price &amp; sold-out status: Not on record*
* **Type C1:** 4,692 sq ft (4+1 Bedrooms) — *Nett/Gross price &amp; sold-out status: Not on record*
* **Type C2:** 2,782 sq ft (2+1 Bedrooms) — *Nett/Gross price &amp; sold-out status: Not on record*
* **Type C:** 5,208 sq ft (3+1 Bedrooms) — *Nett/Gross price &amp; sold-out status: Not on record*
* **Type D:** 7,560 sq ft (4+1 Bedrooms) — *Nett/Gross price &amp; sold-out status: Not on record*
* **Type E:** 5,275 sq ft (4+1 Bedrooms) — *Nett/Gross price &amp; sold-out status: Not on record*
---
### **Furnishing &amp; Specifications** [KB:ZYBAFkwHC8cjOi5IHcLf]
* **Wardrobes:** Schmalenbach (Germany)
* **Wet Kitchen:** Leicht cabinetry &amp; Bosch appliances
* **Dry Kitchen:** Siematic cabinetry, Wolf &amp; Miele appliances, Liebherr refrigerator
* **Air Conditioning:** VRV centralised air conditioning
* **Bathroom Fixtures:** Dorn Bracht faucets, Kohler WC in master room, Claybrook sink &amp; bathtub
* **Façade:** Low-emissivity glass</t>
        </is>
      </c>
    </row>
    <row r="25" ht="60" customHeight="1">
      <c r="A25" s="36" t="inlineStr">
        <is>
          <t>P18</t>
        </is>
      </c>
      <c r="B25" s="37" t="inlineStr">
        <is>
          <t>Tria Seputeh</t>
        </is>
      </c>
      <c r="C25" s="36" t="n">
        <v>35</v>
      </c>
      <c r="D25" s="37" t="inlineStr">
        <is>
          <t>chat-c67ca057-efe1-4f6e-93b8-264aa6766171</t>
        </is>
      </c>
      <c r="E25" s="25" t="inlineStr">
        <is>
          <t>### Tria Seputeh — Project Details
**Basic Overview**
- **Area:** Seputeh (border of Old Klang Road &amp; Seputeh, 650m to Mid Valley) [KB:mbS09fhOtat1MX2UHfQR]
- **Developer:** MRCB (MRCB Seputeh Land Sdn Bhd) [KB:mbS09fhOtat1MX2UHfQR] [KB:n7kwnHcmftO5XOYKJ4uu]
- **Land Title:** Not on record
- **Tenure:** Leasehold (till 2113) [KB:mbS09fhOtat1MX2UHfQR]
- **Maintenance Fee:** RM0.40 psf (inclusive of sinking fund) [KB:mbS09fhOtat1MX2UHfQR] [KB:vNefeC2OHC5Q6JnChyGk]
- **Total Units:** 734 units (Pelto: 343 units, Ebon: 145 units, Cavi: 229 units, River/Park Villa: 17 units)
- **Total Floors:** Pelto Tower: 38 storeys; Ebon Tower: 33 storeys; Cavi Tower: 33 storeys
- **Completion / Vacant Possession Date:** Q2 2023 / May 2023 (Completed) [KB:mbS09fhOtat1MX2UHfQR] [KB:n7kwnHcmftO5XOYKJ4uu]
- **Car Park Allocation:** Not on record
- **Top Reasons to Buy:** Not on record (Key highlights on record include 650m proximity to Mid Valley, master developer MRCB, design by RSP Architects, and private clubhouse with 52 facilities [KB:vNefeC2OHC5Q6JnChyGk])
**Furnishing Details**
- Standard door height
- Floor finishes
- Window glass
- Air conditioning
- Sanitary fittings
- Water heater
- Kitchen cabinet
- Kitchen appliances
**Layouts &amp; Pricing**
*(Note: Separate gross vs. nett price breakdowns are not on record; quoted values represent the recorded price range per layout [KB:EN99p5hQX0tVe2LnxQPc]).*
- **Type X5 &amp; X4:** 764 &amp; 797 sqft | 2 Bedrooms | Price: RM736,800 – RM904,800 [KB:EN99p5hQX0tVe2LnxQPc]
- **Type X2, X1 &amp; X3:** 958 &amp; 1,001 sqft | 2+1 or 3 Bedrooms | Price: RM906,800 – RM1,123,800 [KB:EN99p5hQX0tVe2LnxQPc]
- **Type Y3:** 1,496 sqft | 3+1 Bedrooms | Price: RM1,494,800 – RM1,619,800 [KB:EN99p5hQX0tVe2LnxQPc]
- **Type Y1:** 1,518 sqft | 3+1 Bedrooms | Price: RM1,261,800 – RM1,687,800 [KB:EN99p5hQX0tVe2LnxQPc]
- **Type Y2:** 1,647 sqft | 3+1 Bedrooms | Price: RM1,353,800 – RM1,440,800 [KB:EN99p5hQX0tVe2LnxQPc]
- **Type Z1:** 1,733 sqft | 4+1 Bedrooms | Price: RM1,600,800 – RM1,707,800 [KB:EN99p5hQX0tVe2LnxQPc]
- **Type Z2:** 1,911 sqft | 3+1 Bedrooms | Price: RM1,809,800 – RM1,887,800 [KB:EN99p5hQX0tVe2LnxQPc]
- **Type Z3:** 2,013 sqft | 4+1 Bedrooms | Price: RM1,806,800 – RM1,878,800 [KB:EN99p5hQX0tVe2LnxQPc]
- **Type Z4:** 2,874 sqft | 4+1 Bedrooms | Price: RM2,490,800 – RM2,593,800 [KB:EN99p5hQX0tVe2LnxQPc]
- **Sky Villa:** 3,025 – 4,080 sqft | Various Bedrooms | Price: RM2,334,800 – RM3,601,800 [KB:EN99p5hQX0tVe2LnxQPc]
- **River Villa:** 1,948 – 4,521 sqft | Various Bedrooms | Price: RM2,044,800 – RM4,232,800 [KB:EN99p5hQX0tVe2LnxQPc]</t>
        </is>
      </c>
    </row>
    <row r="26" ht="60" customHeight="1">
      <c r="A26" s="36" t="inlineStr">
        <is>
          <t>P19</t>
        </is>
      </c>
      <c r="B26" s="37" t="inlineStr">
        <is>
          <t>d'Brightton titiwangsa</t>
        </is>
      </c>
      <c r="C26" s="36" t="n">
        <v>35</v>
      </c>
      <c r="D26" s="37" t="inlineStr">
        <is>
          <t>chat-60eadfe7-7b75-4d01-a973-df8060fe9c84</t>
        </is>
      </c>
      <c r="E26" s="25" t="inlineStr">
        <is>
          <t>Here are the details for **d'Brightton Titiwangsa** (Project ID: `y28FP6lqDrEuGEbz9u3u`):
### **Layout Breakdown**
*Note: Separate nett vs. gross price splits are not on record; listed pricing reflects on-record starting/range values.*
- **1,044 sqft**
  - **Bedrooms / Baths**: 3 Rooms, 2 Baths (1 Balcony, Genting Hill view)
  - **Car Park Allocation**: 2 Car Parks [KB:M4wpeUP95oJGUkqqeMBk]
  - **Price**: From RM536,670 / RM550,000 [KB:M4wpeUP95oJGUkqqeMBk] [KB:TzFNnP8wCZJuuJzNQbEY] (Nett &amp; Gross split: Not on record)
  - **Status**: Available
- **1,076 sqft**
  - **Bedrooms / Baths**: 3 Rooms, 2 Baths (2 Balconies, KLCC / Taman Tasik Titiwangsa view)
  - **Car Park Allocation**: 2 Car Parks [KB:M4wpeUP95oJGUkqqeMBk]
  - **Price**: From RM600,000 – RM650,000 [KB:TzFNnP8wCZJuuJzNQbEY] [KB:Ltj74wJaDZa2Tdr5U9pf] (Nett &amp; Gross split: Not on record)
  - **Status**: Available
- **1,194 sqft**
  - **Status**: **SOLD OUT** [KB:GEzMInDlLb15PC5Pb3jE] (Nett &amp; Gross price: Sold out)
- **1,313 / 1,324 sqft (Dual Key)**
  - **Bedrooms / Baths**: 3 Rooms, 2 Baths
  - **Car Park Allocation**: 3 Car Parks [KB:TzFNnP8wCZJuuJzNQbEY]
  - **Status**: **SOLD OUT** [KB:TzFNnP8wCZJuuJzNQbEY] (Nett &amp; Gross price: Sold out)
- **Penthouse (2,163 – 2,400 sqft)**
  - **Status**: **SOLD OUT** [KB:TzFNnP8wCZJuuJzNQbEY] [KB:Ltj74wJaDZa2Tdr5U9pf] (Nett &amp; Gross price: Sold out)
- **3-Storey Villa (2,900 sqft)**
  - **Status**: **SOLD OUT** (Nett &amp; Gross price: Sold out)
---
### **Project Specifications**
- **Area**: Titiwangsa (Jalan Tiara Titiwangsa) [KB:NJF4TFOBoge0S8HrRxtj] [KB:TzFNnP8wCZJuuJzNQbEY]
- **Developer**: GSD Land [KB:NJF4TFOBoge0S8HrRxtj] [KB:TzFNnP8wCZJuuJzNQbEY]
- **Land Title**: Residential Title [KB:M4wpeUP95oJGUkqqeMBk] [KB:TzFNnP8wCZJuuJzNQbEY]
- **Tenure**: Leasehold till 2113 [KB:NJF4TFOBoge0S8HrRxtj] [KB:TzFNnP8wCZJuuJzNQbEY]
- **Maintenance Fee**: RM0.33 psf (inclusive of sinking fund) [KB:NJF4TFOBoge0S8HrRxtj] [KB:TzFNnP8wCZJuuJzNQbEY]
- **Total Units**: 766 units (720 high-rise units in 1 block, 46 villas) [KB:NJF4TFOBoge0S8HrRxtj] [KB:TzFNnP8wCZJuuJzNQbEY]
- **Total Floors**: Not on record
- **Completion / VP Date**: Q4 2024 [KB:NJF4TFOBoge0S8HrRxtj] [KB:TzFNnP8wCZJuuJzNQbEY]
- **Furnishing**: Not on record
---
### **Top Reasons to Buy**
1. **Resort-Style Living**: Built on a 7.66-acre site featuring 3.5–3.8 acres of dedicated facilities across 5 levels [KB:M4wpeUP95oJGUkqqeMBk] [KB:TzFNnP8wCZJuuJzNQbEY].
2. **Landed Enclave**: Located in an exclusive residential area surrounded by landed houses and bungalows [KB:TzFNnP8wCZJuuJzNQbEY].
3. **Generous Ceiling Height**: 10.7 ft ceiling height [KB:M4wpeUP95oJGUkqqeMBk].
4. **Panoramic Views**: Unblocked views towards KLCC, Taman Tasik Titiwangsa, and Genting Highlands [KB:M4wpeUP95oJGUkqqeMBk] [KB:TzFNnP8wCZJuuJzNQbEY].
5. **Competitive Value**: Pure residential title priced from ~RM550+ psf [KB:M4wpeUP95oJGUkqqeMBk] [KB:Ltj74wJaDZa2Tdr5U9pf].</t>
        </is>
      </c>
    </row>
    <row r="27" ht="60" customHeight="1">
      <c r="A27" s="36" t="inlineStr">
        <is>
          <t>P20</t>
        </is>
      </c>
      <c r="B27" s="37" t="inlineStr">
        <is>
          <t>IJM Sierra Hijauan</t>
        </is>
      </c>
      <c r="C27" s="36" t="n">
        <v>35.5</v>
      </c>
      <c r="D27" s="37" t="inlineStr">
        <is>
          <t>chat-056beac5-6aff-4560-9b9a-61676fdfe3a2</t>
        </is>
      </c>
      <c r="E27" s="25" t="inlineStr">
        <is>
          <t>Here are the project details on record for **IJM Sierra Hijauan** (Project ID: `ejqnuGroAIARB2czRshR`):
### Project Specifications
* **Area:** Sierra Ukay, Ampang, Selangor (next to forest reserve) [KB:xDAu3otjbk2PIreFSX0s]
* **Developer:** Sierra Ukay Sdn Bhd (subsidiary of IJM Berhad) [KB:xDAu3otjbk2PIreFSX0s]
* **Land Title:** Residential [KB:xDAu3otjbk2PIreFSX0s]
* **Tenure:** Leasehold (expiring year 2114) [KB:xDAu3otjbk2PIreFSX0s]
* **Maintenance Fee:** TBC (previously RM0.20 psf × land area) [KB:xDAu3otjbk2PIreFSX0s]
* **Total Units:** 310 landed units [KB:xDAu3otjbk2PIreFSX0s]
* **Total Floors:** Not on record
* **Completion / Vacant Possession Date:** End of 2025 (Phase 2E &amp; Phase 2H) [KB:xDAu3otjbk2PIreFSX0s]
* **Furnishing:** Basic bare unit with lighting and aircon points provided [KB:HD78nOe5vpZYqHT69a8i]
* **Car Park Allocation:** Not on record
* **Top Reasons to Buy:** Not on record
### Layouts, Status &amp; Pricing
*Note: A per-layout unit table is not on record for this project. The phase breakdown on record is as follows:*
* **Phase 2B (Semi-Ds):** Completed — **Sold out** [KB:oKJfB0y3btXq4nLDivHu]
* **Phase 2C (50 units):** **Sold out** [KB:HD78nOe5vpZYqHT69a8i]
* **Phase 2D (80 units):** **Sold out** [KB:HD78nOe5vpZYqHT69a8i]
* **Phase 2E (24 Semi-Ds + 1 Bungalow):**
  * Size / Dimension: 40' × 80' (Semi-D) [KB:HD78nOe5vpZYqHT69a8i]
  * Bedrooms: Not on record per layout
  * Estimated Price: ~RM2.2 million [KB:HD78nOe5vpZYqHT69a8i]
  * Nett Price &amp; Gross Price: Not on record
* **Phase 2H (60 Linked Houses):**
  * Size / Dimension: 24' × 60', 22' × 72.5', 22' × 75' [KB:HD78nOe5vpZYqHT69a8i]
  * Bedrooms: Not on record per layout
  * Estimated Price: ~RM1.3 million [KB:HD78nOe5vpZYqHT69a8i]
  * Nett Price &amp; Gross Price: Not on record</t>
        </is>
      </c>
    </row>
    <row r="28" ht="60" customHeight="1">
      <c r="A28" s="36" t="inlineStr">
        <is>
          <t>P21</t>
        </is>
      </c>
      <c r="B28" s="37" t="inlineStr">
        <is>
          <t>Puncak Wangsamas Phase 2</t>
        </is>
      </c>
      <c r="C28" s="36" t="n">
        <v>36.7</v>
      </c>
      <c r="D28" s="37" t="inlineStr">
        <is>
          <t>chat-1658e378-dccd-4e43-b737-4923a1e9c0ff</t>
        </is>
      </c>
      <c r="E28" s="25" t="inlineStr">
        <is>
          <t>Here are the full details for **Puncak Wangsamas Phase 2** (Project ID: `eZlYoYQ0Y8Mhk48IwCw7`):
### **Layout Details**
- **Type A1**
  - **Built-up:** 3,899 sqft (Land Area: 4,101 – 8,181 sqft) [KB:CztUSSsxbbHrbvRW7paC]
  - **Bedrooms:** 5+1 Bedrooms (6 Bathrooms + 1 Powder Room) [KB:sTkiMAcg1U7rk3g0uAOm]
  - **Nett Price:** RM4,600,000 – RM5,000,000 [KB:sTkiMAcg1U7rk3g0uAOm]
  - **Gross Price (SPA):** RM4,700,000 – RM5,786,000 [KB:CztUSSsxbbHrbvRW7paC]
  - **Status:** Available (Active)
- **Type A2**
  - **Built-up:** 4,109 sqft (Land Area: 3,326 – 4,510 sqft) [KB:CztUSSsxbbHrbvRW7paC]
  - **Bedrooms:** 5+1 Bedrooms (6 Bathrooms + 1 Powder Room) [KB:sTkiMAcg1U7rk3g0uAOm]
  - **Nett Price:** RM3,300,000 – RM3,400,000 [KB:sTkiMAcg1U7rk3g0uAOm]
  - **Gross Price (SPA):** RM3,495,000 – RM4,200,000 [KB:CztUSSsxbbHrbvRW7paC]
  - **Status:** Available (Active)
- **Type A4**
  - **Built-up:** 4,728 sqft (Land Area: 3,326 – 6,060 sqft) [KB:CztUSSsxbbHrbvRW7paC]
  - **Bedrooms:** 5+1 Bedrooms (6 Bathrooms + 1 Powder Room) [KB:sTkiMAcg1U7rk3g0uAOm]
  - **Nett Price:** RM3,200,000 – RM4,200,000 [KB:sTkiMAcg1U7rk3g0uAOm]
  - **Gross Price (SPA):** RM3,656,000 – RM4,803,000
  - **Status:** Available (Active)
---
### **Project Specifications**
- **Area:** Bukit Wangsamas, Wangsa Maju, Kuala Lumpur [KB:sTkiMAcg1U7rk3g0uAOm]
- **Developer:** Low Keng Huat Berhad [KB:sTkiMAcg1U7rk3g0uAOm]
- **Land Title:** Individual [KB:sTkiMAcg1U7rk3g0uAOm]
- **Maintenance Fee:** RM250 / month (guardhouse security fee) [KB:khvUiG7CYtrQqKA2j0vL]
- **Tenure:** Leasehold till 2121 [KB:sTkiMAcg1U7rk3g0uAOm]
- **Total Units:** 54 Semi-Detached Homes total (Phase 1: 30 units – Sold Out; Phase 2: 24 units) [KB:7c2C721cF0LE2BL7i7Fj]
- **Total Floors:** 3 Storey [KB:7c2C721cF0LE2BL7i7Fj]
- **Completion / Vacant Possession Date:** Estimated Q3 2027 (24 months from launch) [KB:7c2C721cF0LE2BL7i7Fj]
- **Top Reasons to Buy:**
  1. Rare new landed 3-storey semi-detached enclave close to KL City Centre (~6 km to KLCC).
  2. Low-density hilltop setting with panoramic KL city skyline views [KB:7c2C721cF0LE2BL7i7Fj].
  3. Individual land title allowing flexibility for future structural modifications/extensions [KB:sTkiMAcg1U7rk3g0uAOm].
  4. High-end specifications included: private lift in every unit, marble flooring, timber flooring, Toto sanitaryware, EV charger point, and auto gate [KB:7c2C721cF0LE2BL7i7Fj].
- **Furnishing:** High-grade finishes provided (Marble flooring in living/dining/dry kitchen, timber flooring in bedrooms/family area/staircase, Toto sanitaryware, private lift, EV charger point, auto gate); full furnishing package details are **not on record**.
- **Car Park Allocation:** **Not on record** (car porch with auto gate included; specific car count not stated on record).</t>
        </is>
      </c>
    </row>
    <row r="29" ht="60" customHeight="1">
      <c r="A29" s="36" t="inlineStr">
        <is>
          <t>P22</t>
        </is>
      </c>
      <c r="B29" s="37" t="inlineStr">
        <is>
          <t>The Reya</t>
        </is>
      </c>
      <c r="C29" s="36" t="n">
        <v>30.9</v>
      </c>
      <c r="D29" s="37" t="inlineStr">
        <is>
          <t>chat-5b3d9b55-832a-4188-8092-989eea2bdea0</t>
        </is>
      </c>
      <c r="E29" s="25" t="inlineStr">
        <is>
          <t>### Project Overview: The Reya
- **Area:** KL East, Melawati (Desa Melawati, Kuala Lumpur) [KB:jcWQh7l2xsQuw3KupwBf]
- **Developer:** Sime Darby Property [KB:jcWQh7l2xsQuw3KupwBf]
- **Land Title:** Commercial plot [KB:XkPAvCOVcBRz0DO5oNHG]
- **Maintenance Fee:** RM0.40 psf (inclusive of sinking fund) [KB:jcWQh7l2xsQuw3KupwBf]
- **Tenure:** Freehold [KB:jcWQh7l2xsQuw3KupwBf]
- **Total Units:** 480 units (low density) [KB:0c3HU1CDPAZt417bEHke]
- **Total Floors:** Wing A spans up to Level 36 (233 units); Wing B spans up to Level 34 (247 units)
- **Target Completion / VP Date:** Q3–Q4 2029 [KB:UtfXAGjbwoChZiz7EGGB]
---
### Layouts &amp; Pricing
- **Type A1:** 1,350 sqft | 3+1 Bedrooms, 2 Baths
  - **Nett Price:** From RM830,000+ [KB:R9QOScLHnju49NAweTCH]
  - **Gross Price:** Not on record
- **Type A2 (Corner):** 1,420 sqft | 3+1 Bedrooms, 3 Baths
  - **Nett Price:** From RM880,000+ [KB:R9QOScLHnju49NAweTCH]
  - **Gross Price:** Not on record
- **Type A3:** **SOLD OUT** [KB:R9QOScLHnju49NAweTCH] *(Size &amp; bedrooms not on record)*
  - **Nett Price:** Sold out
  - **Gross Price:** Sold out / Not on record
- **Type A4:** 1,420 sqft | 3+1 Bedrooms, 2 Baths
  - **Nett Price:** From RM870,000+ [KB:R9QOScLHnju49NAweTCH]
  - **Gross Price:** Not on record
- **Type B:** 1,758 sqft | 4+1 Bedrooms, 3 Baths
  - **Nett Price:** From RM1,200,000+ [KB:R9QOScLHnju49NAweTCH]
  - **Gross Price:** Not on record
- **Type C:** 2,210 sqft | 4+1 Bedrooms + 1 Studio, 5 Baths
  - **Nett Price:** From RM1,500,000+ [KB:R9QOScLHnju49NAweTCH]
  - **Gross Price:** Not on record
---
### Additional Details
- **Car Park Allocation:**
  - Type A: 2 car parks
  - Type B: 2 to 3 car parks (1 single + 1 tandem)
  - Type C: 3 car parks
- **Furnishing:** Partly furnished (Smart digital lock, full-unit air conditioning, storage water heater system, wet kitchen cabinets top &amp; bottom with hood &amp; hob, and child-friendly laminated flooring in living room &amp; bedrooms).
- **Top Reasons to Buy:**
  - Freehold hillside development on 6.39 acres by Sime Darby Property [KB:0c3HU1CDPAZt417bEHke]
  - Low density with only 480 units [KB:0c3HU1CDPAZt417bEHke]
  - Overlooks world's longest quartz ridge ("The Dragon"); 47% (3.89 acres) natural forest &amp; greenery preserved on site [KB:0c3HU1CDPAZt417bEHke]
  - Direct 300m covered walkway to KL East Mall &amp; 700m to KYS International School [KB:0c3HU1CDPAZt417bEHke]
  - Wide living hall layout (16 ft to 21 ft) and Fengshui endorsed by Dato' Joey Yap [KB:XkPAvCOVcBRz0DO5oNHG, KB:0c3HU1CDPAZt417bEHke]</t>
        </is>
      </c>
    </row>
    <row r="30" ht="60" customHeight="1">
      <c r="A30" s="36" t="inlineStr">
        <is>
          <t>P23</t>
        </is>
      </c>
      <c r="B30" s="37" t="inlineStr">
        <is>
          <t>Padang Residences</t>
        </is>
      </c>
      <c r="C30" s="36" t="n">
        <v>37.9</v>
      </c>
      <c r="D30" s="37" t="inlineStr">
        <is>
          <t>chat-00c242dc-d5ba-4c6e-b75b-4b0784b5ff35</t>
        </is>
      </c>
      <c r="E30" s="25" t="inlineStr">
        <is>
          <t>### Padang Residences — Project Details
#### Layout Details
* **Type A**: 1,199 sq ft | 3 Bedrooms (3R 2B) | Gross Price: RM785,000 – RM819,000 | Nett Price: Not on record | Status: Available
* **Type B**: 1,033 sq ft | 3 Bedrooms (3R 2B) | Gross Price: RM678,000 – RM710,000 | Nett Price: Not on record | Status: Available
* **Type C**: 902 sq ft | 2 Bedrooms (2+1R 2B) | Gross Price: RM624,000 – RM672,000 | Nett Price: Not on record | Status: Available
* **Type D**: 802 sq ft | 2 Bedrooms (2R 2B) | Gross Price: RM580,000 – RM611,000 | Nett Price: Not on record | Status: Available
* **Type SU1**: 1,558 sq ft | 4 Bedrooms (4R 3B) | Gross Price: From RM1,030,000 | Nett Price: Not on record | Status: Available
* **Type SU6**: 1,708 sq ft | 4 Bedrooms (4R 3B) | Gross Price: From RM1,100,000 | Nett Price: Not on record | Status: Available
* **Type SU7**: 2,125 sq ft | 4 Bedrooms (4R 3B) | Gross Price: From RM1,300,000 | Nett Price: Not on record | Status: Available
*(Note: Specific layout-by-layout nett prices are not on record, though the sales package offers a 10% rebate + 2% SPA signing rebate).* 
#### Project Information
* **Area**: Kota Semarak / Jalan Sultan Yahya Petra (formerly Jalan Semarak), Setapak / Semarak, Kuala Lumpur [KB:UkphwtjVxtx8lvNFgzJd]
* **Developer**: MRCB &amp; TH Properties [KB:UkphwtjVxtx8lvNFgzJd]
* **Land Title**: Commercial under HDA Condominium [KB:UkphwtjVxtx8lvNFgzJd]
* **Tenure**: Leasehold (expiry 26 July 2117) [KB:UkphwtjVxtx8lvNFgzJd]
* **Maintenance Fee**: RM0.35 psf (inclusive of sinking fund) [KB:UkphwtjVxtx8lvNFgzJd]
* **Total Units**: 1,226 units (Phase 1) [KB:UkphwtjVxtx8lvNFgzJd]
* **Total Floors**: 39 storeys [KB:UkphwtjVxtx8lvNFgzJd]
* **Completion / Vacant Possession Date**: December 2027 [KB:UkphwtjVxtx8lvNFgzJd]
* **Furnishing**: Partially furnished — includes kitchen cabinets, hood &amp; hob, digital lock, and 2 air-conditioners (master bedroom &amp; living hall) [KB:ZAXsfB7h2E8DVJmYDKuh]
* **Car Park Allocation**:
  * Type A: 2 car parks
  * Type B: 2 car parks
  * Type C: 1 or 2 car parks
  * Type D: 1 car park
  * Special Units (SU1, SU6, SU7): 3 car parks
#### Top Reasons to Buy
* Low density development at 197 units/acre across 6.3 acres [KB:ZAXsfB7h2E8DVJmYDKuh]
* Lush greenery views while staying close to KL city centre [KB:ZAXsfB7h2E8DVJmYDKuh]
* Low unit-to-lift ratio with 10 units served by 4 lifts per floor [KB:ZAXsfB7h2E8DVJmYDKuh]
* Proximity (3 to 5 km) to primary, secondary, international schools and university campuses [KB:ZAXsfB7h2E8DVJmYDKuh]
* 20 lifestyle facilities on Level 8, including an infinity pool, gymnasium, half basketball court, and futsal court [KB:UMe7XcIRemJUwWOZAujB]</t>
        </is>
      </c>
    </row>
    <row r="31" ht="60" customHeight="1">
      <c r="A31" s="36" t="inlineStr">
        <is>
          <t>P24</t>
        </is>
      </c>
      <c r="B31" s="37" t="inlineStr">
        <is>
          <t>Tangen Residences</t>
        </is>
      </c>
      <c r="C31" s="36" t="n">
        <v>27.9</v>
      </c>
      <c r="D31" s="37" t="inlineStr">
        <is>
          <t>chat-37b8d10c-8932-4f9e-871d-ec2d386a2746</t>
        </is>
      </c>
      <c r="E31" s="25" t="inlineStr">
        <is>
          <t>Here are the project details for **Tangen Residences** (Project ID: `QZL9WpMOxZ07JHxSl54P`):
### Layout Breakdown
- **Type A**: 1,582 sqft (147 m²) | 4 Bedrooms (4R3B) | **Gross Price**: Not on record | **Nett Price**: Not on record | **Status**: Fully Sold [KB:7Tog1BNVlwfyVMxkDPTZ]
- **Type B**: 1,281 sqft (119 m²) | 4 Bedrooms (4R3B) | **Gross Price**: Not on record | **Nett Price**: Not on record | **Status**: Available (45 units remaining as of July 2026) [KB:7Tog1BNVlwfyVMxkDPTZ]
- **Type C**: 1,033 sqft (96 m²) | 3 Bedrooms (3R2B) | **Gross Price**: Not on record | **Nett Price**: Not on record (Project starting price from RM659,000)
- **Type D**: 1,550 sqft (144 m²) | 4 Bedrooms (4R3B) | **Gross Price**: Not on record | **Nett Price**: Not on record
*Note: Individual unit-level gross/nett price breakdown per layout is not on record; overall project starting price is RM659,000.*
---
### General Project Information
- **Area**: Jalan Seri Bintang, Segambut / North Kiara (5 minutes to Desa ParkCity &amp; Mont Kiara) [KB:3YsZNngOucdNpTOTKnxE]
- **Developer**: Angkasa Armada Sdn Bhd (subsidiary of Eng Han Group) [KB:3YsZNngOucdNpTOTKnxE]
- **Land Title**: Residential (Schedule H)
- **Tenure**: Freehold [KB:3YsZNngOucdNpTOTKnxE]
- **Total Units**: 413 units [KB:MvQLnYFbLxcvZbkLrfus]
- **Total Floors**: 49 floors (Residences on Levels 8–48) [KB:MvQLnYFbLxcvZbkLrfus]
- **Maintenance Fee**: Est. RM0.33 psf (inclusive of sinking fund) [KB:MvQLnYFbLxcvZbkLrfus]
- **Target Completion / VP Date**: Q4 2027 (48 months from SPA) [KB:MvQLnYFbLxcvZbkLrfus]
- **Car Park Allocation**: 2–3 side-by-side parking bays [KB:MvQLnYFbLxcvZbkLrfus, KB:7Tog1BNVlwfyVMxkDPTZ]
- **Furnishing**: Bare unit (Promo options available: Bare unit with 2 free aircons or partially furnished package) [KB:MvQLnYFbLxcvZbkLrfus, KB:7Tog1BNVlwfyVMxkDPTZ]
---
### Top Reasons to Buy [KB:7Tog1BNVlwfyVMxkDPTZ]
1. **Pet-Friendly Development**: Rare pet-friendly residence in North Kiara / Segambut.
2. **Prime Location &amp; Connectivity**: 5 minutes to Desa ParkCity &amp; Mont Kiara, 3 international schools within 5km, and close to upcoming MRT3 circle line station.
3. **Low Density &amp; Premium Facilities**: Only 413 units total across 2.8 acres; features a 50m infinity lap pool, 2 indoor badminton courts, sky cinema, co-working space, and sky facilities.</t>
        </is>
      </c>
    </row>
    <row r="32" ht="60" customHeight="1">
      <c r="A32" s="36" t="inlineStr">
        <is>
          <t>P25</t>
        </is>
      </c>
      <c r="B32" s="37" t="inlineStr">
        <is>
          <t>Miranda Hill @ north kiara by BRDB</t>
        </is>
      </c>
      <c r="C32" s="36" t="n">
        <v>43.8</v>
      </c>
      <c r="D32" s="37" t="inlineStr">
        <is>
          <t>chat-e5ccb54c-db19-4807-a44c-07bfa69522a9</t>
        </is>
      </c>
      <c r="E32" s="25" t="inlineStr">
        <is>
          <t>### **Miranda Hill @ North Kiara by BRDB** (Project ID: `02F5tLppdnsZhpipbowa`)
#### **1. Layout Details &amp; Pricing**
* **Type A (2+1 Bedrooms)**
  * **Size:** 943 – 1,093 sq ft [KB:msaaQ1RuJJn2CSPEwDzB]
  * **Bedrooms:** 2+1 [KB:msaaQ1RuJJn2CSPEwDzB]
  * **Gross Price:** Average RM759 psf [KB:msaaQ1RuJJn2CSPEwDzB] (Project gross prices start from RM730,250 in Tower 2 [KB:qBLS57rdUpEr7wabsJ3G]; specific layout gross price list not on record)
  * **Nett Price:** Not on record
* **Type B (3+1 Bedrooms)**
  * **Size:** 1,292 – 1,595 sq ft [KB:msaaQ1RuJJn2CSPEwDzB]
  * **Bedrooms:** 3+1 [KB:msaaQ1RuJJn2CSPEwDzB]
  * **Gross Price:** Average RM732 psf [KB:msaaQ1RuJJn2CSPEwDzB] (Specific layout gross price list not on record)
  * **Nett Price:** Not on record
* **Type C (4+2 Bedrooms)**
  * **Size:** 2,153 – 2,237 sq ft [KB:msaaQ1RuJJn2CSPEwDzB]
  * **Bedrooms:** 4+2 [KB:msaaQ1RuJJn2CSPEwDzB]
  * **Gross Price:** Average RM678 psf [KB:msaaQ1RuJJn2CSPEwDzB] (Specific layout gross price list not on record)
  * **Nett Price:** Not on record
* **Penthouse (5+1 Bedrooms)**
  * **Status:** **Sold Out**
  * **Size:** 2,735 – 3,584 sq ft [KB:msaaQ1RuJJn2CSPEwDzB]
  * **Bedrooms:** 5+1 [KB:msaaQ1RuJJn2CSPEwDzB]
  * **Gross Price:** Sold out (Not on record)
  * **Nett Price:** Sold out (Not on record)
*(Overall gross price range on record: Tower 1 from RM892,400 to RM2,732,400; Tower 2 from RM730,250 to RM1,750,300 [KB:qBLS57rdUpEr7wabsJ3G]).*
---
#### **2. Project Overview &amp; Specifications**
* **Area:** North Kiara / Dutamas (Jalan Dutamas Melati, 3 streets from Publika Mall, opposite French School of KL) [KB:cdV2XwcdMEqhhhxthQRZ]
* **Developer:** Freedom Estates Sdn Bhd (part of BRDB Group) [KB:cdV2XwcdMEqhhhxthQRZ, KB:msaaQ1RuJJn2CSPEwDzB]
* **Land Title:** Residential [KB:cdV2XwcdMEqhhhxthQRZ, KB:msaaQ1RuJJn2CSPEwDzB]
* **Tenure:** Freehold [KB:cdV2XwcdMEqhhhxthQRZ, KB:msaaQ1RuJJn2CSPEwDzB]
* **Maintenance Fee:** RM0.28 psf (inclusive of sinking fund) [KB:msaaQ1RuJJn2CSPEwDzB]
* **Total Units:** 552 units (Tower 1: 277 units, Tower 2: 275 units) [KB:cdV2XwcdMEqhhhxthQRZ, KB:qBLS57rdUpEr7wabsJ3G]
* **Total Floors:** Tower 1: 37 storeys; Tower 2: 35 storeys [KB:msaaQ1RuJJn2CSPEwDzB]
* **Completion / VP Date:** End of 2027 / September 2027 [KB:cdV2XwcdMEqhhhxthQRZ, KB:qBLS57rdUpEr7wabsJ3G]
---
#### **3. Car Park Allocation &amp; Furnishing**
* **Car Park Allocation:** [KB:msaaQ1RuJJn2CSPEwDzB]
  * Type A &amp; Type B (intermediate): 2 car parks
  * Type B &amp; Type C: 3 car parks
  * Penthouse: 4 car parks
* **Furnishing:** Partly Furnished
  * Full air-conditioning
  * Full dry kitchen for all units; full wet kitchen for Type C &amp; D
  * Full bathrooms with hot water system &amp; quartz vanity top in master bathroom
  * Laminated timber flooring &amp; tinted laminated windows
  * Appliances: hood, hob, fridge, oven, washer &amp; dryer
  * Built-in wardrobe in master bedroom
  * Digital door lock
---
#### **4. Top Reasons to Buy**
1. **Low Density &amp; Expansive Greenery:** Only 552 units across 7.84 acres (70 units/acre), with 4.43 acres dedicated to landscaping [KB:cdV2XwcdMEqhhhxthQRZ].
2. **Prestige Developer Track Record:** Developed by BRDB Group (reputable developer of Bangsar Shopping Centre &amp; One Menerung) [KB:cdV2XwcdMEqhhhxthQRZ].
3. **Prime Location:** Situated in North Kiara / Dutamas corridor, opposite French School of Kuala Lumpur and 3 streets away from Publika Mall [KB:cdV2XwcdMEqhhhxthQRZ, KB:b7hG7NslGiJvB9EsTjps].
4. **Resort-Style Facilities:** Features a 230m (750ft) swimming pool — the longest in Mont Kiara.</t>
        </is>
      </c>
    </row>
    <row r="33" ht="60" customHeight="1">
      <c r="A33" s="36" t="inlineStr">
        <is>
          <t>P26</t>
        </is>
      </c>
      <c r="B33" s="37" t="inlineStr">
        <is>
          <t>Alstonia Hilltop Homes</t>
        </is>
      </c>
      <c r="C33" s="36" t="n">
        <v>67.5</v>
      </c>
      <c r="D33" s="37" t="inlineStr">
        <is>
          <t>chat-55f8cd5e-9153-4380-bba4-38ef373e1fac</t>
        </is>
      </c>
      <c r="E33" s="25" t="inlineStr">
        <is>
          <t>Here are the project details for **Alstonia Hilltop Homes** (Project ID: `ZAtRBLvFIfa04tuOnDcr`):
### Project Overview
- **Area:** Bukit Rahman Putra (BRP), Sungai Buloh, Selangor [KB:rQ8JQ7OQlQS5yULaUlj1, KB:DkEf8TbYIS4s9ZC6CSDO]
- **Developer:** Pinnacle Paradise Sdn Bhd (subsidiary of MRCB Land / MRCB) [KB:rQ8JQ7OQlQS5yULaUlj1, KB:DkEf8TbYIS4s9ZC6CSDO]
- **Land Title:** Residential, Strata Title [KB:DkEf8TbYIS4s9ZB6CSDO]
- **Tenure:** Freehold [KB:rQ8JQ7OQlQS5yULaUlj1, KB:oFIvWiEgTywI0exB92Kw, KB:DkEf8TbYIS4s9ZB6CSDO]
- **Maintenance Fee:** RM0.35 psf (inclusive of sinking fund)
- **Total Units:** 245 units total (214 Condominium units &amp; 31 Garden Villa units) [KB:rQ8JQ7OQlQS5yULaUlj1, KB:oFIvWiEgTywI0exB92Kw, KB:DkEf8TbYIS4s9ZB6CSDO]
- **Total Floors:** 24 storeys (Condominium / Garden Heights); 3 storeys (Garden Villa) [KB:DkEf8TbYIS4s9ZB6CSDO, KB:FDMnWJDd87f7mg20JjdT]
- **Completion / Vacant Possession Date:** Q1 2024 (VP Completed) [KB:DkEf8TbYIS4s9ZB6CSDO]
- **Top Reasons to Buy:** Not on record
- **Furnishing:** Not on record
### Layout Breakdown &amp; Pricing
*Note: The structured layout table is empty for this project, and specific per-layout breakdown of nett vs gross price and sold-out status is not on record. The layout specifications on record are as follows:* [KB:oFIvWiEgTywI0exB92Kw]
#### 1. Condominium (Garden Heights – 214 units)
- **Price Range:** Min RM676,800 – Max RM1,238,640 [KB:oFIvWiEgTywI0exB92Kw]
- **Type A1:** 1,001 sq ft | Bedrooms: Not on record | Car Parks: 2 | Nett Price: Not on record | Gross Price: Not on record | Sold-out Status: Not on record [KB:oFIvWiEgTywI0exB92Kw]
- **Type A2:** 1,022 sq ft | Bedrooms: Not on record | Car Parks: 2 | Nett Price: Not on record | Gross Price: Not on record | Sold-out Status: Not on record [KB:oFIvWiEgTywI0exB92Kw]
- **Type B1:** 1,216 sq ft | Bedrooms: 3 Bedrooms + 1 | Car Parks: 2 | Nett Price: Not on record | Gross Price: Not on record | Sold-out Status: Not on record [KB:oFIvWiEgTywI0exB92Kw, KB:FDMnWJDd87f7mg20JjdT]
- **Type B2:** 1,227 sq ft | Bedrooms: Not on record | Car Parks: 2 | Nett Price: Not on record | Gross Price: Not on record | Sold-out Status: Not on record [KB:oFIvWiEgTywI0exB92Kw]
- **Type C1:** 1,431 sq ft | Bedrooms: Not on record | Car Parks: 3 | Nett Price: Not on record | Gross Price: Not on record | Sold-out Status: Not on record [KB:oFIvWiEgTywI0exB92Kw]
#### 2. Garden Villas (3-Storey Villa – 31 units)
- **Price Range:** Min RM1,761,800 – Max RM3,020,940 [KB:oFIvWiEgTywI0exB92Kw]
- **Intermediate Unit:** 3,500 – 3,516 sq ft | Bedrooms: Not on record | Car Parks: Not on record | Nett Price: Not on record | Gross Price: Not on record | Sold-out Status: Not on record [KB:rQ8JQ7OQlQS5yULaUlj1, KB:oFIvWiEgTywI0exB92Kw]
- **Corner Unit:** 3,600 sq ft (Land Size: 31' x 75') | Bedrooms: 4 Bedrooms + 2 | Car Parks: Car porch | Nett Price: Not on record | Gross Price: Not on record | Sold-out Status: Not on record [KB:oFIvWiEgTywI0exB92Kw, KB:FDMnWJDd87f7mg20JjdT]
### Car Park Allocation
- **Condo Types A1, A2, B1, B2:** 2 car parks [KB:oFIvWiEgTywI0exB92Kw]
- **Condo Type C1:** 3 car parks [KB:oFIvWiEgTywI0exB92Kw]
- **Villas:** Not on record (car porch shown on floor plans) [KB:FDMnWJDd87f7mg20JjdT]</t>
        </is>
      </c>
    </row>
    <row r="34" ht="60" customHeight="1">
      <c r="A34" s="36" t="inlineStr">
        <is>
          <t>P27</t>
        </is>
      </c>
      <c r="B34" s="37" t="inlineStr">
        <is>
          <t>Binastra Cochrane</t>
        </is>
      </c>
      <c r="C34" s="36" t="n">
        <v>56.2</v>
      </c>
      <c r="D34" s="37" t="inlineStr">
        <is>
          <t>chat-b0690cca-1709-4e0f-adca-dd07fad32b54</t>
        </is>
      </c>
      <c r="E34" s="25" t="inlineStr">
        <is>
          <t>Binastra Cochrane is not on record in D2's active project inventory. If you need details on this development, please verify with D2 sales admin.</t>
        </is>
      </c>
    </row>
    <row r="35" ht="60" customHeight="1">
      <c r="A35" s="36" t="inlineStr">
        <is>
          <t>P28</t>
        </is>
      </c>
      <c r="B35" s="37" t="inlineStr">
        <is>
          <t>Eden BRDB, Taman Duta</t>
        </is>
      </c>
      <c r="C35" s="36" t="n">
        <v>29.8</v>
      </c>
      <c r="D35" s="37" t="inlineStr">
        <is>
          <t>chat-f6cde3f3-8f5e-4ddb-8e67-79d95718dc99</t>
        </is>
      </c>
      <c r="E35" s="25" t="inlineStr">
        <is>
          <t>Here are the details for **Eden BRDB, Taman Duta** (Project ID: `Y9e0jUxw51oDWzLg5vWR`):
### Layout Details [KB:vmd19x6k5FZixozu2L5j]
- **Type A2**:
  - **Size**: 5,307 sqft
  - **Bedrooms**: 4+2 Bedrooms (5 Bathrooms + 1 Powder)
  - **Nett Price**: RM8.5M – RM11.8M
  - **Gross Price**: from RM1,700 psf
  - **Status**: Available
- **Type C**:
  - **Size**: 6,491 sqft
  - **Bedrooms**: 4+2 Bedrooms (6 Bathrooms + 1 Powder)
  - **Nett Price**: RM10M – RM14.6M
  - **Gross Price**: from RM1,700 psf
  - **Status**: Available
- **Type A3a**:
  - **Size**: 9,192 sqft
  - **Bedrooms**: 4+2 Bedrooms (6 Bathrooms + 1 Powder)
  - **Nett Price**: RM14.8M – RM15.8M
  - **Gross Price**: from RM1,700 psf
  - **Status**: Available
- **Type C1**:
  - **Size**: 11,141 sqft
  - **Bedrooms**: 4+2 Bedrooms (7 Bathrooms + 1 Powder)
  - **Nett Price**: Sold Out
  - **Gross Price**: Sold Out
  - **Status**: **Sold Out**
- **Type D1**:
  - **Size**: 19,031 sqft
  - **Bedrooms**: 5+2 Bedrooms (8 Bathrooms + 1 Powder)
  - **Nett Price**: RM30.9M
  - **Gross Price**: RM1,625 psf
  - **Status**: Available
---
### Project Specifications
- **Area**: Taman Duta [KB:9tab2Vy32EQUQzxB3GGt]
- **Developer**: BRDB [KB:9tab2Vy32EQUQzxB3GGt]
- **Land Title**: Not on record
- **Maintenance Fee**: RM0.70 psf (inclusive of sinking fund) [KB:9tab2Vy32EQUQzxB3GGt]
- **Tenure**: Freehold [KB:9tab2Vy32EQUQzxB3GGt]
- **Total Units**: 146 units (including 22 duplex penthouses) [KB:9tab2Vy32EQUQzxB3GGt]
- **Total Floors**: 3 to 8 storeys across 8 low-rise blocks [KB:9tab2Vy32EQUQzxB3GGt]
- **Completion / Vacant Possession Date**: Expected Mid 2029 [KB:9tab2Vy32EQUQzxB3GGt]
- **Top Reasons to Buy**:
  - Ultra-low density luxury sanctuary on 12.25 acres with 30% dedicated greenery [KB:K3e02HyBT5r99ey4HeqS]
  - "Landed home living without the headache of managing it" concept [KB:K3e02HyBT5r99ey4HeqS]
  - GreenRE Gold certified with EV infrastructure and sustainable design features
  - Premium international fittings and appliances included
- **Furnishing**: Equipped with luxury brands (Poggenpohl dry kitchen &amp; cabinetry, Gaggenau &amp; Bosch appliances, Molteni &amp; C wardrobes, Hansgrohe sanitary fittings, Villeroy &amp; Boch sanitary ware)
- **Car Park Allocation**: 4 to 11 car parks per unit (all equipped with EV infrastructure) [KB:P4mqGmKzCGMBancpcGQL]</t>
        </is>
      </c>
    </row>
    <row r="36" ht="60" customHeight="1">
      <c r="A36" s="36" t="inlineStr">
        <is>
          <t>P29</t>
        </is>
      </c>
      <c r="B36" s="37" t="inlineStr">
        <is>
          <t>Majestic @ Kiara Reserve</t>
        </is>
      </c>
      <c r="C36" s="36" t="n">
        <v>41.8</v>
      </c>
      <c r="D36" s="37" t="inlineStr">
        <is>
          <t>chat-cb395654-6226-4287-bdc1-a2c34efe6424</t>
        </is>
      </c>
      <c r="E36" s="25" t="inlineStr">
        <is>
          <t>Here are the full details for **Majestic @ Kiara Reserve**:
### Project Overview
- **Area / Location**: Mont Kiara / Damansara Heights (Next to SMK Sri Hartamas, adjacent to 400-acre Bukit Kiara Forest Reserve) [KB:ulZttJH8RBdnrnkSfeCc] [KB:6ew3PWzA0DfpA4bCZEix]
- **Developer**: Excellent Bonanza Sdn Bhd (under GSH Corporation, SGX-listed) [KB:ulZttJH8RBdnrnkSfeCc]
- **Land Title**: Residential [KB:ulZttJH8RBdnrnkSfeCc]
- **Tenure**: Freehold [KB:ulZttJH8RBdnrnkSfeCc]
- **Maintenance Fee**: RM0.55 psf [KB:ulZttJH8RBdnrnkSfeCc]
- **Total Units**: 237 units total (Phase 1: 57 Parkhomes &amp; 79 Villas; Phase 2: 93 Condo units &amp; 8 Villas) [KB:6ew3PWzA0DfpA4bCZEix]
- **Total Floors**: 11 storeys (High Rise Condo, Phase 2) [KB:6ew3PWzA0DfpA4bCZEix]
- **Expected Completion / VP Date**: Q4 2029 [KB:ulZttJH8RBdnrnkSfeCc]
- **Car Park Allocation**: 
  - High Rise Condo: 2 car parks per unit [KB:2m9DMel1OWJ5dzRDlfDp]
  - Parkhomes: 700 sqft dedicated car park space [KB:6ew3PWzA0DfpA4bCZEix]
  - Villas / General: Up to 4 car parks [KB:2m9DMel1OWJ5dzRDlfDp]
- **Furnishing**: 
  - **Parkhomes**: Partially furnished with dry kitchen cabinets, Electrolux microwave &amp; oven, 5 air-conditioners, plaster ceiling, water heaters, Villeroy &amp; Boch sanitary fittings, digital lockset, porcelain tiles &amp; engineered timber flooring [KB:6ew3PWzA0DfpA4bCZEix].
  - **Villas**: EV charging point, rainwater harvesting system, private lift, solar panels, plaster ceiling, air-conditioners, water heaters, Villeroy &amp; Boch sanitary fittings, digital lockset [KB:6ew3PWzA0DfpA4bCZEix].
  - **High Rise Condo**: Partially furnished with Villeroy &amp; Boch sanitary fittings, air-conditioners, digital lockset, and water heater [KB:6ew3PWzA0DfpA4bCZEix].
---
### Top Reasons to Buy [KB:2m9DMel1OWJ5dzRDlfDp]
1. **Freehold Land**: 4.8 acres of rare freehold residential land between Mont Kiara and Damansara Heights.
2. **Very Low Density**: Exclusive luxury development of only 237 total residences.
3. **Adjacent to Forest Reserve**: Direct access to 400-acre Bukit Kiara Forest Reserve for hiking, biking, and outdoor greenery.
4. **Bypass Traffic**: Situated next to SMK Sri Hartamas, offering direct access in and out while avoiding Mont Kiara congestion.
5. **Convenience &amp; Amenities**: Walk 300m to Desa Sri Hartamas shoplots (cafes, restaurants, banks) and right next to Garden International School (GIS) early years centre.
6. **Affordable Entry**: Competitive pricing starting from ~RM900 psf / RM1.2M in a high-demand luxury enclave.
---
### Layout Breakdown
#### Phase 1 — Parkhomes &amp; Villas
* **Parkhomes**
  * **Size**: 1,600 sqft (+ 700 sqft car park) [KB:6ew3PWzA0DfpA4bCZEix]
  * **Bedrooms**: Not on record
  * **Gross Price**: From RM1,560,000 – RM1,700,000+ [KB:6ew3PWzA0DfpA4bCZEix]
  * **Nett Price**: Not on record
  * **Status**: Available (not recorded as sold out)
* **Villa A**
  * **Size**: 3,703 sqft [KB:6ew3PWzA0DfpA4bCZEix]
  * **Bedrooms**: 5+1 rooms (5+1 bathrooms) [KB:6ew3PWzA0DfpA4bCZEix]
  * **Gross Price**: From RM4,000,000 [KB:6ew3PWzA0DfpA4bCZEix]
  * **Nett Price**: Not on record
  * **Status**: Available (not recorded as sold out)
* **Villa B**
  * **Size**: 2,800 sqft [KB:6ew3PWzA0DfpA4bCZEix]
  * **Bedrooms**: 3+1 rooms (4+1 bathrooms) [KB:6ew3PWzA0DfpA4bCZEix]
  * **Gross Price**: From RM3,000,000 [KB:6ew3PWzA0DfpA4bCZEix]
  * **Nett Price**: Not on record
  * **Status**: Available (not recorded as sold out)
#### Phase 2 — Villas &amp; High Rise Condos
* **Type B-2 / B-3 Villa**
  * **Size**: 2,960 sqft
  * **Bedrooms**: 3+1 rooms (3+2 bathrooms)
  * **Gross Price (SPA)**: RM3,291,800
  * **Nett Price**: RM2,903,367.60 (after 10% + 2% rebate)
  * **Status**: Available (not recorded as sold out)
* **Type B-3A Villa**
  * **Size**: 3,153 sqft
  * **Bedrooms**: 3+1 rooms (3+2 bathrooms)
  * **Gross Price (SPA)**: RM3,483,800
  * **Nett Price**: RM3,072,711.60 (after 10% + 2% rebate)
  * **Status**: Available (not recorded as sold out)
* **Phase 2 Villas (8 units below condo)**
  * **Size**: Not on record
  * **Bedrooms**: Not on record
  * **Gross Price**: ~RM3,000,000
  * **Nett Price**: Not on record
  * **Status**: Available (not recorded as sold out)
* **High-Rise Unit 8 &amp; 9 (Forest View)**
  * **Size**: 1,270 sqft &amp; 1,292 sqft [KB:6ew3PWzA0DfpA4bCZEix]
  * **Bedrooms**: 3+1 rooms [KB:2m9DMel1OWJ5dzRDlfDp]
  * **Gross Price**: From RM1,200,000 [KB:2m9DMel1OWJ5dzRDlfDp]
  * **Nett Price**: Not on record
  * **Status**: Available (not recorded as sold out)
* **High-Rise Unit 1 &amp; 7 (Dual Frontage — KLCC &amp; Forest View)**
  * **Size**: 1,410 sqft &amp; 1,464 sqft [KB:6ew3PWzA0DfpA4bCZEix]
  * **Bedrooms**: 3+1 rooms
  * **Gross Price**: Not on record
  * **Nett Price**: Not on record
  * **Status**: Available (not recorded as sold out)
* **High-Rise Unit 3A (KLCC View)**
  * **Size**: 1,453 sqft [KB:6ew3PWzA0DfpA4bCZEix]
  * **Bedrooms**: 3+1 rooms
  * **Gross Price**: Not on record
  * **Nett Price**: Not on record
  * **Status**: Available (not recorded as sold out)
* **High-Rise Unit 2, 3, 5, 6 (KLCC View)**
  * **Size**: 1,496 sqft [KB:6ew3PWzA0DfpA4bCZEix]
  * **Bedrooms**: 3+1 rooms
  * **Gross Price**: Not on record
  * **Nett Price**: Not on record
  * **Status**: Available (not recorded as sold out)</t>
        </is>
      </c>
    </row>
    <row r="37" ht="60" customHeight="1">
      <c r="A37" s="36" t="inlineStr">
        <is>
          <t>P30</t>
        </is>
      </c>
      <c r="B37" s="37" t="inlineStr">
        <is>
          <t>St. Regis Residences Kuala Lumpur</t>
        </is>
      </c>
      <c r="C37" s="36" t="n">
        <v>31</v>
      </c>
      <c r="D37" s="37" t="inlineStr">
        <is>
          <t>chat-2d9d07ab-591d-432b-8cd7-9d1a3d4b5d22</t>
        </is>
      </c>
      <c r="E37" s="25" t="inlineStr">
        <is>
          <t>Here are the project details for **St. Regis Residences Kuala Lumpur** (Project ID: `8UKNRsEYVyFqZFp0wt5Q`):
### Layout Details
- **Studio**:
  - **Size**: 820 sqft
  - **Bedrooms**: Studio (0 BR)
  - **Gross Price**: From RM2,280,000
  - **Nett Price**: Not on record as a fixed nett figure (DIP package includes RM100,000 ID subsidy / RM533,580 total package) [KB:Lzgzym1grZW29ATvcMjj]
  - **Status**: Reported fully sold by developer update [KB:Lzgzym1grZW29ATvcMjj]
- **1 Bedroom**:
  - **Size**: 1,648 sqft
  - **Bedrooms**: 1 BR
  - **Gross Price**: From RM4,470,000
  - **Nett Price**: Not on record as a fixed nett figure (DIP package includes RM180,000 ID subsidy / RM1,030,440 total package) [KB:Lzgzym1grZW29ATvcMjj]
  - **Status**: Reported fully sold by developer update [KB:Lzgzym1grZW29ATvcMjj]
- **2 Bedrooms**:
  - **Size**: 2,408 sqft
  - **Bedrooms**: 2 BR
  - **Gross Price**: From RM6,330,000
  - **Nett Price**: Not on record as a fixed nett figure (DIP package includes RM300,000 ID subsidy / RM1,502,700 total package) [KB:Lzgzym1grZW29ATvcMjj]
  - **Status**: Reported fully sold by developer update [KB:Lzgzym1grZW29ATvcMjj]
- **3 Bedrooms**:
  - **Size**: 4,253 sqft
  - **Bedrooms**: 3 BR
  - **Gross Price**: From RM10,970,000
  - **Nett Price**: Not on record as a fixed nett figure (DIP package includes RM400,000 ID subsidy / RM2,484,680 total package) [KB:Lzgzym1grZW29ATvcMjj]
  - **Status**: Reported fully sold by developer update [KB:Lzgzym1grZW29ATvcMjj]
### Project Information
- **Area**: KL Sentral, Kuala Lumpur
- **Developer**: Excellent Bonanza Sdn Bhd (under GSH Corporation) / UOA Development Bhd [KB:uuV6C249TylzjKr25it3]
- **Land Title**: Freehold (specific title classification e.g., Commercial/Residential is not on record)
- **Maintenance Fee**: Not on record
- **Tenure**: Freehold [KB:uuV6C249TylzjKr25it3]
- **Total Units**: Not on record
- **Total Floors**: 48 storeys [KB:uuV6C249TylzjKr25it3]
- **Completion / Vacant Possession Date**: Completed [KB:uuV6C249TylzjKr25it3]
- **Furnishing**: Fully fitted with Miele, Bulthaup &amp; Lema designer appliances &amp; furniture, built-in wardrobes &amp; bathrooms, laminated &amp; tinted windows
- **Car Park Allocation**: 1–2 car parks per unit (basement &amp; podium parking)
- **Top Reasons to Buy**:
  1. Strategic location in KL Sentral, Malaysia's primary transportation hub.
  2. Prestigious St. Regis 5-star hotel-branded luxury living and concierge services.
  3. Move-in ready fully fitted luxury interiors with top-tier designer brands.
  4. Double Income Package (5% return for 2 years with attractive rebates and ID subsidies).</t>
        </is>
      </c>
    </row>
    <row r="38" ht="60" customHeight="1">
      <c r="A38" s="36" t="inlineStr">
        <is>
          <t>P31</t>
        </is>
      </c>
      <c r="B38" s="37" t="inlineStr">
        <is>
          <t>Aster Hill Sri Petaling</t>
        </is>
      </c>
      <c r="C38" s="36" t="n">
        <v>30.7</v>
      </c>
      <c r="D38" s="37" t="inlineStr">
        <is>
          <t>chat-1eb650e6-d76f-42dc-bb38-6786fd059bb0</t>
        </is>
      </c>
      <c r="E38" s="25" t="inlineStr">
        <is>
          <t>Here are the full details for **Aster Hill Sri Petaling**:
### **General Overview**
- **Project ID:** 5GQD7WaNNz6Dlzb13Ho1
- **Area:** Sri Petaling, KL South [KB:3ftGruUWUzeOeON8fh6p]
- **Developer:** UOA Development Bhd (Master Developer of Bangsar South) [KB:3ftGruUWUzeOeON8fh6p]
- **Land Title:** Commercial under HDA [KB:3ftGruUWUzeOeON8fh6p]
- **Tenure:** Freehold [KB:3ftGruUWUzeOeON8fh6p]
- **Total Units:** 1,150 units (Block A: 575 units, Block B: 575 units) [KB:3ftGruUWUzeOeON8fh6p]
- **Total Floors:** 32 levels per block [KB:3ftGruUWUzeOeON8fh6p]
- **Target Completion / VP Date:** Q3 2027 [KB:3ftGruUWUzeOeON8fh6p]
- **Maintenance Fee:** RM0.30 psf (inclusive of sinking fund) [KB:3ftGruUWUzeOeON8fh6p]
- **Car Park Allocation:** 2 car parks per unit [KB:3ftGruUWUzeOeON8fh6p]
---
### **Layout Details**
*(Note: All layouts feature 3 Bedrooms &amp; 2 Bathrooms [KB:3ftGruUWUzeOeON8fh6p]. Specific gross and nett price breakdowns per layout are not on record; overall starting price begins at RM518,000)*
- **Type A1**
  - **Size:** 852 sqft
  - **Bedrooms:** 3 Bedrooms, 2 Bathrooms [KB:3ftGruUWUzeOeON8fh6p]
  - **Starting Price:** From RM518,000
  - **Gross &amp; Nett Price Breakdown:** Not on record
  - **Status:** Available (not marked sold out)
- **Type B1**
  - **Size:** 1,043 sqft
  - **Bedrooms:** 3 Bedrooms, 2 Bathrooms [KB:3ftGruUWUzeOeON8fh6p]
  - **Gross &amp; Nett Price:** Not on record
  - **Status:** Available (not marked sold out)
- **Type C**
  - **Size:** 1,077 sqft
  - **Bedrooms:** 3 Bedrooms, 2 Bathrooms [KB:3ftGruUWUzeOeON8fh6p]
  - **Gross &amp; Nett Price:** Not on record
  - **Status:** Available (not marked sold out)
---
### **Furnishing Provided** [KB:3ftGruUWUzeOeON8fh6p]
- Air conditioners in all bedrooms and living hall
- Storage water heater (Type A: 1 unit shared; Type B &amp; C: 2 units)
- Shower screens &amp; sanitary fittings
- Kitchen cabinet with hood &amp; hob (2-burner)
- 2-door refrigerator
- 2-in-1 washer &amp; dryer
- Digital lockset for main entrance door
---
### **Top Reasons to Buy** [KB:ll7s46YxVwtamd6Z3N8M]
1. **Proximity to School:** Opposite SJK(C) La Salle (only 450m away).
2. **Reputable Developer:** Built by UOA Development Bhd, master developer of Bangsar South.
3. **Freehold Land:** 4.72 acres of freehold residential development.
4. **Quiet Location &amp; Open Views:** Slightly set back from major highways compared to older developments, offering open landed views.
5. **Low New Supply:** Sri Petaling has limited new launches (earlier projects like Aster Green, 8 Stellar, and Pinnacle are fully sold).
6. **Accessible Entry Price:** Freehold 3-bedroom unit from RM518,000, suitable for young families and couples.
7. **Strategic Connectivity:** Excellent connectivity to MEX, KESAS, SMART, and KL-Seremban Highway.</t>
        </is>
      </c>
    </row>
    <row r="39" ht="60" customHeight="1">
      <c r="A39" s="36" t="inlineStr">
        <is>
          <t>P32</t>
        </is>
      </c>
      <c r="B39" s="37" t="inlineStr">
        <is>
          <t>Exsim Project</t>
        </is>
      </c>
      <c r="C39" s="36" t="n">
        <v>31.3</v>
      </c>
      <c r="D39" s="37" t="inlineStr">
        <is>
          <t>chat-2eeb414e-d7be-47f4-85cc-f889b2fb9a78</t>
        </is>
      </c>
      <c r="E39" s="25" t="inlineStr">
        <is>
          <t>Here are the details on record for **Exsim Project** (Project ID: `gmyjno668zbpf7wEoefH`):
### Layout Details &amp; Pricing
- **Layouts (Size, Bedrooms, Nett Price, Gross Price, Sold Out Status):** Not on record. (The master project entry has no layout table on record.)
### Project Details
- **Area:** Multiple locations including Old Klang Road, Bukit Jalil, Damansara Empire, KL City Centre, KL Metropolis, Bukit Ceylon, Ipoh, and Penang
- **Developer:** Konsortium Exsim Development Sdn Bhd (member of EXSIM Group) [KB:Xo1oOSQ6mlEcaVszHou3]
- **Land Title:** Commercial (HDA) (for D'Ivo Residences @ Old Klang Road) [KB:Xo1oOSQ6mlEcaVszHou3]; others not on record
- **Maintenance Fee:** RM0.38 psf including sinking fund (for D'Ivo Residences @ Old Klang Road) [KB:Xo1oOSQ6mlEcaVszHou3]; others not on record
- **Tenure:** Leasehold (for D'Ivo Residences @ Old Klang Road) [KB:Xo1oOSQ6mlEcaVszHou3]; master record listed as Unknown
- **Total Units:** Not on record
- **Total Floors:** 2 Towers of 39 Storeys (for D'Ivo Residences @ Old Klang Road) [KB:Xo1oOSQ6mlEcaVszHou3]; others not on record
- **Completion / Vacant Possession Date:** Expected completion 48 months after APDL obtained (for D'Ivo Residences @ Old Klang Road) [KB:Xo1oOSQ6mlEcaVszHou3]; others not on record
- **Top Reasons to Buy:** Distinct eco-friendly emphasis meeting Green Building Index (GBI) standards, innovative green features, and strong developer track record [KB:lTv14gUfxdUOUhpgDVw0]
- **Furnishing:** Free bathroom accessories included [KB:lTv14gUfxdUOUhpgDVw0]; full unit furnishing packages are not on record
- **Car Park Allocation:** Not on record</t>
        </is>
      </c>
    </row>
    <row r="40" ht="60" customHeight="1">
      <c r="A40" s="36" t="inlineStr">
        <is>
          <t>P33</t>
        </is>
      </c>
      <c r="B40" s="37" t="inlineStr">
        <is>
          <t>Kensho @ Taman Desa</t>
        </is>
      </c>
      <c r="C40" s="36" t="n">
        <v>32</v>
      </c>
      <c r="D40" s="37" t="inlineStr">
        <is>
          <t>chat-bf2de333-7d70-4d6f-8287-9f671f6c9d45</t>
        </is>
      </c>
      <c r="E40" s="25" t="inlineStr">
        <is>
          <t>Here are the details for **Kensho @ Taman Desa** (Project ID: `GnoAYH9KP5JL2e9hwaxl`):
### Layout Details
- **Type B**:
  - **Size**: 707 sqft
  - **Bedrooms**: 2
  - **Nett Price**: from RM563,160
  - **Gross Price**: Not on record
  - **Status**: Sold out [KB:HeooFff1gHRhGuFdaGZY]
- **Type C**:
  - **Size**: 811 sqft
  - **Bedrooms**: 3
  - **Nett Price**: from RM624,800
  - **Gross Price**: Not on record
- **Type D1**:
  - **Size**: 1,023 sqft
  - **Bedrooms**: 3+1
  - **Nett Price**: from RM808,800 (Sample unit KR/15/06: Gross SPA RM893,000 / Nett RM759,050 after 12%+3% rebate [KB:HeooFff1gHRhGuFdaGZY])
  - **Gross Price**: Not on record for general base price
- **Type D2**:
  - **Size**: 1,034 sqft
  - **Bedrooms**: 3+1
  - **Nett Price**: from RM818,000
  - **Gross Price**: Not on record
---
### Project Information
- **Area**: Taman Desa [KB:kSTSW13s2tkD7aTAaCaU]
- **Developer**: Regal Path Sdn Bhd (a subsidiary of Malton Berhad) [KB:kSTSW13s2tkD7aTAaCaU] / SCP
- **Land Title**: Commercial under HDA [KB:kSTSW13s2tkD7aTAaCaU]
- **Tenure**: Leasehold [KB:kSTSW13s2tkD7aTAaCaU]
- **Maintenance Fee**: RM0.44 psf (inclusive of sinking fund) [KB:kSTSW13s2tkD7aTAaCaU] / RM0.40 psf + 10% sinking fund [KB:9oDi4uKUVxFq8gIrWFN5]
- **Total Units**: 310 units
- **Total Floors**: Not on record (facilities extend up to Level 40 rooftop [KB:qeh8NMavOhaazNXeq3yS])
- **Completion / Vacant Possession Date**: Q4 2026 [KB:kSTSW13s2tkD7aTAaCaU] (48 months from SPA date [KB:9oDi4uKUVxFq8gIrWFN5])
- **Top Reasons to Buy**:
  1. Zen Japanese-inspired minimalist architectural design [KB:qeh8NMavOhaazNXeq3yS]
  2. Low-density exclusive living with only 310 units
  3. Rare 3+1 bedroom layouts in the Taman Desa market [KB:fekFw5wEvtuz2t9ftWCT]
  4. Comprehensive wellness facilities including Onsen hot bath, sky dining pavilion, and smart home features [KB:qeh8NMavOhaazNXeq3yS]
- **Furnishing**: Partially furnished (includes digital lockset for main door, kitchen cabinets, hood, hob, oven, fridge, smart switches, smart plugs, smart air conditioners, washer-cum-dryer, motorised curtain points, and built-in water heaters) [KB:fekFw5wEvtuz2t9ftWCT]
- **Car Park Allocation**: 1 to 2 parking bays per unit (located on LG to Level 7)</t>
        </is>
      </c>
    </row>
    <row r="41" ht="60" customHeight="1">
      <c r="A41" s="36" t="inlineStr">
        <is>
          <t>P34</t>
        </is>
      </c>
      <c r="B41" s="37" t="inlineStr">
        <is>
          <t>Aetas Taman Desa</t>
        </is>
      </c>
      <c r="C41" s="36" t="n">
        <v>32</v>
      </c>
      <c r="D41" s="37" t="inlineStr">
        <is>
          <t>chat-6cc89064-ea03-400a-9daf-0bbd7c55d054</t>
        </is>
      </c>
      <c r="E41" s="25" t="inlineStr">
        <is>
          <t>Here are the project facts and details on record for **Aetas Taman Desa** (Project ID: vo8AyKLc2F9xo0T51c9I):
### **1. Layouts, Sizes, Bedrooms &amp; Pricing**
* **Layout Table / Per-Layout Breakdown**: The detailed per-layout inventory table (`unitTypes`) is **not on record**.
* **General Layout Range**: Typical units range from **2,400 sq ft to 3,800 sq ft** with **3+1, 4+1, to 5+1 bedrooms** [KB:2CX9SiQAztP1XfWScPhr, KB:FRh1y87g9a2eddmD2euO]. There are also 2 penthouses at **7,000 sq ft** [KB:2CX9SiQAztP1XfWScPhr].
* **Nett Price &amp; Gross Price per Layout**: **Not on record** (price configuration is unreleased/not specified per unit type).
* **Sold Out Status per Layout**: **Not on record**.
---
### **2. Project Details**
* **Area**: Taman Desa, KL South (dual entrances via Jalan Morib and Jalan Teluk Gadung) [KB:s3RdfXq6cuaTs3ImYJS3].
* **Developer**: Berjaya Hartanah Berhad [KB:s3RdfXq6cuaTs3ImYJS3].
* **Land Title**: **Not on record** (specific Commercial/Residential title classification beyond Freehold tenure is not stated).
* **Maintenance Fee**: **RM0.55 psf** (inclusive of sinking fund) [KB:s3RdfXq6cuaTs3ImYJS3].
* **Tenure**: **Freehold** [KB:s3RdfXq6cuaTs3ImYJS3].
* **Total Units**: **217 units** across 2 towers [KB:s3RdfXq6cuaTs3ImYJS3].
* **Total Floors**: **31 storeys** [KB:s3RdfXq6cuaTs3ImYJS3].
* **Completion / Vacant Possession Date**: **Q1 2031** (54 months from SPA) [KB:s3RdfXq6cuaTs3ImYJS3].
---
### **3. Fittings, Furnishing &amp; Car Park Allocation**
* **Furnishing / Fittings**: Semi-fitted specs on record [KB:2CX9SiQAztP1XfWScPhr]:
  * Ducted air-conditioning for living, dining, and master bedroom; split AC for other bedrooms.
  * Built-in storage water heater for all bathrooms (except maid's bath).
  * Master bathrooms with dual sinks and bathtub (Types A, B &amp; C).
  * Smart-home ready with neutral cable.
  * *Full furnishing package details*: **Not on record**.
* **Car Park Allocation**:
  * **Type A**: 4–5 car park bays
  * **Type B &amp; C**: 4 car park bays
  * **Type D**: 3 car park bays
  * Standard range: 3 to 4 car park bays per unit [KB:2CX9SiQAztP1XfWScPhr].
---
### **4. Top Reasons to Buy** [KB:FRh1y87g9a2eddmD2euO]
1. **Dual Access**: Main entrance via Jalan Morib and secondary entrance via Jalan Teluk Gadong, both with guardhouses.
2. **Ultra-Low Density**: Only 217 units across 3.93 acres of freehold land (55 units per acre).
3. **Private Lift Lobby**: Every unit features a private lift lobby with minimal sharing.
4. **Spacious Family Homes**: Semi-D and bungalow-in-the-sky layouts (2,400–3,800 sq ft) built for family living.
5. **EV Ready &amp; Modern Facilities**: Personal EV isolator for every unit, pet-friendly walking track, GreenRE Platinum rating, and age-friendly/mobility-friendly features.</t>
        </is>
      </c>
    </row>
    <row r="42" ht="60" customHeight="1">
      <c r="A42" s="36" t="inlineStr">
        <is>
          <t>P35</t>
        </is>
      </c>
      <c r="B42" s="37" t="inlineStr">
        <is>
          <t>Southpoint Residences (IGB )</t>
        </is>
      </c>
      <c r="C42" s="36" t="n">
        <v>27</v>
      </c>
      <c r="D42" s="37" t="inlineStr">
        <is>
          <t>chat-4a89848f-5733-4a0c-bceb-22377051e466</t>
        </is>
      </c>
      <c r="E42" s="25" t="inlineStr">
        <is>
          <t>### **Southpoint Residences (IGB )**
#### **Project Overview**
- **Area / Location:** Menara Southpoint, Mid Valley City, Kuala Lumpur (KL South)
- **Developer:** MVCSP Sdn Bhd (a subsidiary of IGB Group) [KB:y18Gd4UFTe1XPdrCupEZ]
- **Property / Land Title Type:** Serviced Apartment (Commercial Title)
- **Tenure:** Leasehold (expiry 21 March 2120) [KB:y18Gd4UFTe1XPdrCupEZ]
- **Total Units:** 172 units [KB:y18Gd4UFTe1XPdrCupEZ]
- **Total Floors:** 59 floors
- **Maintenance Fee:** RM0.70 psf (ownership area — inclusive of car park &amp; sinking fund) [KB:y18Gd4UFTe1XPdrCupEZ]
- **Completion / VP Date:** Completed (VP status achieved)
- **Furnishing:** Not on record (Optional ID package available: RM100k for Type C, RM150k for Type D)
- **Car Park Allocation:** Not on record (specific allocation per unit is not specified, though car park is included in ownership maintenance fee)
---
#### **Layout Details &amp; Pricing**
*Note: Nett vs Gross price splits are not on record separately; sales terms specify no discount/no rebate.*
- **Type C:** 1,119 sqft | 2 Bedrooms | Price: From RM1,740,000 | Status: Available
- **Type D:** 1,636 sqft | 3 Bedrooms | Price: From RM2,380,000 | Status: Available
- **Type E:** 2,282 sqft | 3+1 Bedrooms | Price: From RM3,210,000 | Status: Available
- **Type E1:** 2,303 sqft | 3+1 Bedrooms | Price: From RM3,260,000 | Status: Available
- **Type A3 &amp; B3:** 2,347 sqft | 3+1 Bedrooms | Price: From RM3,490,000 | Status: Available
- **Type A2:** 2,809 sqft | 3+1 Bedrooms | Price: From RM4,270,000 | Status: Available
- **Type B2:** 3,477 sqft | 5+1 Bedrooms | Price: From RM5,260,000 | Status: Available
- **Type A1:** 5,210 sqft | 5+1 Bedrooms | Price: By Private Invitation Only | Status: Available
- **Type B1:** 5,877 sqft | 5+1 Bedrooms | Price: By Private Invitation Only | Status: Available
---
#### **Top Reasons to Buy**
- **Final Chapter of Mid Valley City:** The last opportunity to own a residential unit within the Mid Valley City master plan [KB:yLhuS7uH22lNkBoZRDeq].
- **Unmatched Live-Work-Play Ecosystem:** Seamless integration with Mid Valley Megamall, The Gardens Mall, and surrounding prime office towers [KB:uyukyjyoEVd6cIOl3qmm].
- **Generous &amp; Human-Centric Layouts:** Designed with spacious built-ups ranging from 1,119 to 5,877 sqft [KB:yLhuS7uH22lNkBoZRDeq].
- **Low Density &amp; Privacy:** High-exclusivity development featuring only 172 units across 59 floors [KB:y18Gd4UFTe1XPdrCupEZ].</t>
        </is>
      </c>
    </row>
    <row r="43" ht="60" customHeight="1">
      <c r="A43" s="36" t="inlineStr">
        <is>
          <t>P36</t>
        </is>
      </c>
      <c r="B43" s="37" t="inlineStr">
        <is>
          <t>Park Green at Pavilion Bukit Jalil</t>
        </is>
      </c>
      <c r="C43" s="36" t="n">
        <v>31.9</v>
      </c>
      <c r="D43" s="37" t="inlineStr">
        <is>
          <t>chat-10cc4b9c-9a3b-4853-b6c2-fe1681b701fa</t>
        </is>
      </c>
      <c r="E43" s="25" t="inlineStr">
        <is>
          <t>Here are the full project details on record for **Park Green at Pavilion Bukit Jalil**:
### Layout Options
- **Type A / A (M) (1,201 sq. ft.)**: 3 Bedrooms, 2 Bathrooms | 2 Car Parks | Gross &amp; Nett price per layout: **not on record** (Overall project range: RM1,040,000 – RM2,229,790) | Status: Available
- **Type B (1,408 sq. ft.)**: 3 Bedrooms, 2 Bathrooms | 2 Car Parks | Gross &amp; Nett price per layout: **not on record** | Status: Available
- **Type C (1,485 sq. ft.)**: 3 Bedrooms, 2 Bathrooms | 2 Car Parks | Gross &amp; Nett price per layout: **not on record** | Status: Available
- **Type D / D (M) (1,501 sq. ft.)**: 3 Bedrooms, 2 Bathrooms | 2 Car Parks | Gross &amp; Nett price per layout: **not on record** | Status: Available
- **Type F (1,627 sq. ft.)**: 3 Bedrooms, 2 Bathrooms | 2 Car Parks | Gross &amp; Nett price per layout: **not on record** | Status: Available
- **Type E (1,905 sq. ft.)**: 4 Bedrooms, 3 Bathrooms | 2–3 Car Parks | Gross &amp; Nett price per layout: **not on record** | Status: Available
### Project Specifications
- **Area**: Persiaran Jalil Utama, Pavilion Bukit Jalil [KB:31Yf7ZiVhnSC7pwYZEMQ]
- **Developer**: Regal Path Sdn Bhd (a subsidiary of Malton Berhad) [KB:31Yf7ZiVhnSC7pwYZEMQ]
- **Land Title**: **not on record** (Property type: Serviced Residence)
- **Maintenance Fee**: RM0.44 psf (inclusive of sinking fund) [KB:31Yf7ZiVhnSC7pwYZEMQ]
- **Tenure**: Freehold [KB:31Yf7ZiVhnSC7pwYZEMQ]
- **Total Units**: 453 units [KB:31Yf7ZiVhnSC7pwYZEMQ]
- **Total Floors**: 47 Storeys [KB:31Yf7ZiVhnSC7pwYZEMQ]
- **Completion / Vacant Possession Date**: Target Completion Q2 2029
### Key Highlights &amp; Reasons to Buy
1. **Final Masterpiece**: Crowning final jewel of the 50-acre Bukit Jalil City township development [KB:9HElQOWKhS6z5h6zEYib].
2. **Direct Mall Connectivity**: Dedicated pedestrian bridge offering direct link access steps away from Pavilion Bukit Jalil [KB:3280lAF4e8FfW2hkaOJE].
3. **Park Views**: Panoramic balcony views overlooking the sprawling 80-acre Bukit Jalil Recreational Park [KB:9HElQOWKhS6z5h6zEYib].
4. **Bespoke Services**: Offers luxury living supplemented by on-demand concierge services [KB:9HElQOWKhS6z5h6zEYib].
### Furnishing Package (Partly Furnished)
- Kitchen cabinet with cooking hood &amp; hob (wet kitchen only)
- Air-conditioners for living room and all bedrooms
- Digital lockset
- 2-in-1 washer dryer
- Countertop &amp; vanity cabinet in all bathrooms
- Shower screen with door in all bathrooms
- Storage water heater (master bathroom only)
### Car Park Allocation
- **1,201 sqft – 1,627 sqft**: 2 car parks
- **1,905 sqft**: 2 to 3 car parks
- **Car park floors**: Basement 1 &amp; 2 / Levels 2–10</t>
        </is>
      </c>
    </row>
    <row r="44" ht="60" customHeight="1">
      <c r="A44" s="36" t="inlineStr">
        <is>
          <t>P37</t>
        </is>
      </c>
      <c r="B44" s="37" t="inlineStr">
        <is>
          <t>OAKA Residences, Bukit Jalil</t>
        </is>
      </c>
      <c r="C44" s="36" t="n">
        <v>28.2</v>
      </c>
      <c r="D44" s="37" t="inlineStr">
        <is>
          <t>chat-95d717c8-1557-4f95-8ef4-151bac632546</t>
        </is>
      </c>
      <c r="E44" s="25" t="inlineStr">
        <is>
          <t>### **OAKA Residences, Bukit Jalil**
#### **Layout Details**
- **Type A**: 882 sq ft | 2 Bedrooms | Nett Price: Not on record | Gross Price: Not on record
- **Type B1/B2**: 1,182 sq ft | 2+1 Bedrooms | Nett Price: Not on record | Gross Price: Not on record
- **Type B3**: 1,175 sq ft | 2+1 Bedrooms (with lanai) | Nett Price: Not on record | Gross Price: Not on record
- **Type C**: 1,423 sq ft | 3 Bedrooms | Nett Price: Not on record | Gross Price: Not on record
*(Note: Overall project nett pricing ranges from RM750,000 to RM1,400,000 / RM800–RM1,000 psf nett [KB:aA9a0JWx1XVvGZXZVoLv]. Specific layout-by-layout nett and gross price breakdowns are not on record.)*
#### **Project Details**
- **Area**: Jalan Jalil Perkasa, Bukit Jalil, Kuala Lumpur [KB:aA9a0JWx1XVvGZXZVoLv] [KB:1CC5O0bZQntqFom3zMzB]
- **Developer**: Berjaya Hartanah Berhad [KB:1CC5O0bZQntqFom3zMzB]
- **Land Title**: Residential [KB:1CC5O0bZQntqFom3zMzB]
- **Maintenance Fee**: RM0.51 psf [KB:aA9a0JWx1XVvGZXZVoLv] [KB:1CC5O0bZQntqFom3zMzB]
- **Tenure**: Freehold [KB:aA9a0JWx1XVvGZXZVoLv] [KB:1CC5O0bZQntqFom3zMzB]
- **Total Units**: 350 units (175 units per tower across 2 towers) [KB:aA9a0JWx1XVvGZXZVoLv] [KB:1CC5O0bZQntqFom3zMzB]
- **Total Floors**: 31 storeys [KB:1CC5O0bZQntqFom3zMzB]
- **Completion / VP Date**: Q1 2028 [KB:aA9a0JWx1XVvGZXZVoLv] [KB:1CC5O0bZQntqFom3zMzB]
- **Furnishing**: Semi-furnished / Partly furnished (includes wet &amp; dry kitchen cabinets with hood &amp; hob, air-conditioners for living area and all bedrooms, shower screen &amp; vanity cabinets in all bathrooms, yard and utility room) [KB:aA9a0JWx1XVvGZXZVoLv]
- **Car Park Allocation**: Side-by-side bays — 2 bays for standard units (Type A, B1/B2, B3), 3 bays for Type C (EV charging facilities available) [KB:aA9a0JWx1XVvGZXZVoLv]
#### **Top Reasons to Buy** [KB:bFlXgBhgBGeN9kbLjpy3] [KB:h5bLgWeRYx196TtRbqFb]
1. Breathtaking views right beside the Bukit Jalil Golf Course.
2. Exclusive freehold low-density development (only 350 units on 2.2 acres).
3. 1km proximity to Bukit Jalil Park and Berjaya Golf Club.
4. 1.5km drive to Pavilion Bukit Jalil Mall.
5. Walkable distance (300m) to the Esplanade with dining and lifestyle amenities.
6. Thoughtfully designed homes with dry &amp; wet kitchens, balcony, and yard in every unit.
7. 42 types of resort-style facilities across 3 levels (Ground, Level 5 Podium, Level 31 Rooftop).
8. Developed by Berjaya Group, Bukit Jalil's premier master developer for over 20 years.</t>
        </is>
      </c>
    </row>
    <row r="45" ht="60" customHeight="1">
      <c r="A45" s="36" t="inlineStr">
        <is>
          <t>P38</t>
        </is>
      </c>
      <c r="B45" s="37" t="inlineStr">
        <is>
          <t>Senja The Jewel Collection</t>
        </is>
      </c>
      <c r="C45" s="36" t="n">
        <v>26.7</v>
      </c>
      <c r="D45" s="37" t="inlineStr">
        <is>
          <t>chat-741f8774-26b5-4ec2-91cf-940ee0efed08</t>
        </is>
      </c>
      <c r="E45" s="25" t="inlineStr">
        <is>
          <t>Here are the details on record for **Senja The Jewel Collection**:
### **Layout &amp; Pricing Details**
* **Phase 1 (114 units):** Sold out [KB:KvQcdjB14HtRIuR0N8WP]
* **Phase 2 (83 units):** Currently available [KB:KvQcdjB14HtRIuR0N8WP]
1. **3-Storey Superlink**
   * **Size:** 3,398 – 3,473 sq ft [KB:W4IAaTkQRSgzVwyfwf3Q]
   * **Bedrooms:** 4+1 rooms [KB:KvQcdjB14HtRIuR0N8WP]
   * **Gross Price:** From ~RM1.7 million [KB:KvQcdjB14HtRIuR0N8WP]
   * **Nett Price:** Not on record
   * **Status:** Available (Phase 2)
2. **3-Storey Semi-D (6 Layout Types)**
   * **Size:** 4,299 – 6,743 sq ft [KB:W4IAaTkQRSgzVwyfwf3Q]
   * **Bedrooms:** 5+1 rooms [KB:KvQcdjB14HtRIuR0N8WP]
   * **Gross Price:** RM2.2 million – RM2.5 million [KB:KvQcdjB14HtRIuR0N8WP]
   * **Nett Price:** Not on record (Rebates: 7%+2% for Units 115–129; 5%+2% for Units 131–177 [KB:9J5h0jl5yw0mORXPq3e8])
   * **Status:** Available (Phase 2)
3. **3-Storey Zero-Lot Bungalow**
   * **Size:** 4,924 sq ft [KB:W4IAaTkQRSgzVwyfwf3Q]
   * **Bedrooms:** 5+1 rooms [KB:KvQcdjB14HtRIuR0N8WP]
   * **Gross Price:** RM2.5 million – RM3.0 million [KB:KvQcdjB14HtRIuR0N8WP]
   * **Nett Price:** Not on record (7%+2% rebate on record [KB:9J5h0jl5yw0mORXPq3e8])
   * **Status:** Available (Phase 2)
---
### **Project Specifications**
* **Area / Location:** The Mines Resort City, Seri Kembangan, Selangor (Land size: 47.52 acres) [KB:KvQcdjB14HtRIuR0N8WP]
* **Developer:** BRDB (designed by GDP Architect) [KB:KvQcdjB14HtRIuR0N8WP]
* **Land Title:** Residential Strata [KB:KvQcdjB14HtRIuR0N8WP]
* **Tenure:** Leasehold (88 years remaining / 2114) [KB:KvQcdjB14HtRIuR0N8WP]
* **Maintenance Fee:** RM0.48 per share unit [KB:KvQcdjB14HtRIuR0N8WP]
  * *Superlink:* RM450 – RM550 / month [KB:KvQcdjB14HtRIuR0N8WP]
  * *Semi-D:* RM1,000 – RM1,300 / month [KB:KvQcdjB14HtRIuR0N8WP]
  * *Zero-Lot Bungalow:* RM1,500 – RM1,800 / month [KB:KvQcdjB14HtRIuR0N8WP]
* **Total Units:** 278 units across 2 phases [KB:KvQcdjB14HtRIuR0N8WP]
* **Total Floors:** Not on record (Units are 3-storey landed residences) [KB:W4IAaTkQRSgzVwyfwf3Q]
* **Target Completion / VP Date:** Q1 2026 (Schedule G, 36 months) [KB:KvQcdjB14HtRIuR0N8WP]
* **Furnishing:** Bare Unit with provisions (includes aircon piping, full bathroom fittings &amp; tiles, bathtub for Semi-D &amp; Bungalow, master bathroom hot/cold piping, lift provision, EV provision, and OKU-friendly ground floor room) [KB:9J5h0jl5yw0mORXPq3e8]
* **Car Park Allocation:** Not on record
* **Top Reasons to Buy:** Not on record in official sales kit pitch form (Offer to check with D2 sales admin)</t>
        </is>
      </c>
    </row>
    <row r="46" ht="60" customHeight="1">
      <c r="A46" s="36" t="inlineStr">
        <is>
          <t>P39</t>
        </is>
      </c>
      <c r="B46" s="37" t="inlineStr">
        <is>
          <t>18 Madge Uthant</t>
        </is>
      </c>
      <c r="C46" s="36" t="n">
        <v>29.9</v>
      </c>
      <c r="D46" s="37" t="inlineStr">
        <is>
          <t>chat-16e56f85-7495-49c9-bc8d-acc3c4e889a1</t>
        </is>
      </c>
      <c r="E46" s="25" t="inlineStr">
        <is>
          <t>### Project Details: 18 Madge Uthant (Project ID: `lHfAYryEGRDmv9ZV2r6w`)
* **Area**: Jalan Madge, Taman U-Thant / Ampang Hilir [KB:e5Yz5WqO18NYwpanbpov]
* **Developer**: Goodpark Development Sdn Bhd (subsidiary of KSL Holdings Bhd) [KB:SDu5ub4q7C4oTEhfHcHB] / Chin Hin [KB:e5Yz5WqO18NYwpanbpov]
* **Land Title**: Residential [KB:SDu5ub4q7C4oTEhfHcHB, KB:e5Yz5WqO18NYwpanbpov]
* **Tenure**: Freehold [KB:SDu5ub4q7C4oTEhfHcHB, KB:e5Yz5WqO18NYwpanbpov]
* **Maintenance Fee**: RM0.55 psf (inclusive of sinking fund) [KB:SDu5ub4q7C4oTEhfHcHB, KB:e5Yz5WqO18NYwpanbpov]
* **Total Units**: 50 units (1 tower) [KB:SDu5ub4q7C4oTEhfHcHB, KB:e5Yz5WqO18NYwpanbpov]
* **Total Floors**: 10 floors + 3 basement levels + rooftop [KB:e5Yz5WqO18NYwpanbpov]
* **Completion / Vacant Possession Date**: Completed Q4 2022 [KB:SDu5ub4q7C4oTEhfHcHB, KB:e5Yz5WqO18NYwpanbpov]
* **Furnishing**: Bare units (except show units which are furnished) [KB:SDu5ub4q7C4oTEhfHcHB]
* **Car Park Allocation**: 2 to 3 single bays per unit (Basement Levels B1–B3) [KB:IX6sHb4lBwFI9wRQFEId, KB:SDu5ub4q7C4oTEhfHcHB]
  * Units #3, #4, #5: 2 car parks [KB:SDu5ub4q7C4oTEhfHcHB]
  * Units #1, #2, #6: 3 car parks [KB:SDu5ub4q7C4oTEhfHcHB]
* **Top Reasons to Buy**: Not on record
---
### Layout Breakdown
A full per-layout table is **not on record** in the system database for this project. The recorded built-up size range is **2,238 sqft to 14,813 sqft** [KB:SDu5ub4q7C4oTEhfHcHB]. Specific unit / layout entries recorded in sales notes include:
* **2,411 sqft** (3+1 Bedrooms, 3+2 Bathrooms): Gross/List Price RM2,595,380 | Nett Price RM2,517,519 [KB:6Uhj69ltmWkluchTKajs]
* **2,787 sqft** (Show Unit): Nett Price RM3,253,842 [KB:SDu5ub4q7C4oTEhfHcHB]
* **2,723 sqft** (Unit 1-06): Price not specified in record [KB:IX6sHb4lBwFI9wRQFEId]
*Note: Complete unit-by-unit availability and sold-out statuses across all layouts are not stored in the record; please reach out to D2 sales admin for the live stack plan.*</t>
        </is>
      </c>
    </row>
    <row r="47" ht="60" customHeight="1">
      <c r="A47" s="36" t="inlineStr">
        <is>
          <t>P40</t>
        </is>
      </c>
      <c r="B47" s="37" t="inlineStr">
        <is>
          <t>Aria Luxury Residence @ KLCC</t>
        </is>
      </c>
      <c r="C47" s="36" t="n">
        <v>30</v>
      </c>
      <c r="D47" s="37" t="inlineStr">
        <is>
          <t>chat-50d47b63-193c-4ac8-aa91-9f8628472ac1</t>
        </is>
      </c>
      <c r="E47" s="25" t="inlineStr">
        <is>
          <t>### Project Details: Aria Luxury Residence @ KLCC (Project ID: `3mxxrORFeZBV2RSUMu98`)
#### Layout Details (Size, Bedrooms, Nett &amp; Gross Price)
- **Layout Breakdown:** Not on record (per-unit layout table is not available in the system record).
- **Starting Price:** From RM1,411,000.
#### Property Specifications
- **Area / Location:** Jalan Tun Razak, near KLCC, Kuala Lumpur city centre (Land size: 1.98 acres)
- **Developer:** Not on record
- **Land Title:** Commercial under HDA
- **Tenure:** Freehold [KB:3sWCmeQWpGPx8oKMvFkg]
- **Total Units:** 598 units across 2 towers [KB:00Ba8PXmVW2ePoJ9R23x]
- **Total Floors:** Not on record
- **Maintenance Fee:** RM0.55 psf (including sinking fund) [KB:j50abiwsve9IYaRZw7If], [KB:3sWCmeQWpGPx8oKMvFkg]
- **Completion / VP Date:** Not on record
- **Furnishing:** Fully furnished packages available [KB:j50abiwsve9IYaRZw7If]; detailed unit-level specification is not on record
- **Car Park Allocation:** Not on record
#### Top Reasons to Buy [KB:j50abiwsve9IYaRZw7If], [KB:8p5LoGIGLIgHZD7C9UO0]
- **Connectivity:** 650m / 7-minute walk to KLCC East / Conlay MRT Station.
- **Prime Location:** 900m to 50-acre KLCC Park; surrounded by 29 embassies within 1km and over 168 office towers in the Golden Triangle.
- **Privacy:** Exclusive 2 lifts serving only 2–3 units per floor.
- **Concierge Service:** 24-hour full-fledged concierge service (in-house management, housekeeping, airline reservation/confirmation, leasing &amp; sub-sales).
- **Low Density:** 598 units across 2 blocks on 1.98 acres of freehold land.
- **High Security:** 6-Tier security designed by GDSS Security Consultants (same consultants as major embassies).
- **Facilities:** 65,000 sq ft of facilities and leisure space, one of the largest facility spreads in the city centre.</t>
        </is>
      </c>
    </row>
    <row r="48" ht="60" customHeight="1">
      <c r="A48" s="36" t="inlineStr">
        <is>
          <t>P41</t>
        </is>
      </c>
      <c r="B48" s="37" t="inlineStr">
        <is>
          <t>AT6 Residensi @ Ampang Tengah</t>
        </is>
      </c>
      <c r="C48" s="36" t="n">
        <v>28.9</v>
      </c>
      <c r="D48" s="37" t="inlineStr">
        <is>
          <t>chat-208756ba-cc31-498d-b4ca-197c087c7baa</t>
        </is>
      </c>
      <c r="E48" s="25" t="inlineStr">
        <is>
          <t>Here are the details for **AT6 Residensi @ Ampang Tengah** (Project ID: `nsls9Gq69qXQFzPia0MX`):
### Layout Details
* **Type A**:
  * **Size**: 2,799 sq ft [KB:mcoti2Y2RdORYTeaUI5J]
  * **Bedrooms**: 4 bedrooms + maid's room + 3 store rooms [KB:mcoti2Y2RdORYTeaUI5J]
  * **Nett Price**: Not on record (Price rate is from RM1,276 psf [KB:mcoti2Y2RdORYTeaUI5J])
  * **Gross Price**: Not on record
  * **Status**: Available (not marked sold out)
* **Type B**:
  * **Size**: 3,509 sq ft [KB:mcoti2Y2RdORYTeaUI5J]
  * **Bedrooms**: 4 bedrooms + maid's room + family room + 3 store rooms [KB:mcoti2Y2RdORYTeaUI5J]
  * **Nett Price**: Not on record (Price rate is from RM1,276 psf [KB:mcoti2Y2RdORYTeaUI5J])
  * **Gross Price**: Not on record
  * **Status**: Available (not marked sold out)
### Project Information
* **Area**: Jalan Ampang Tengah [KB:iMlcSLGk62EMOdqN2Gfv]
* **Developer**: Boulevard Realty Sdn. Bhd. [KB:mcoti2Y2RdORYTeaUI5J] / Platinum Victory Suites [KB:iMlcSLGk62EMOdqN2Gfv]
* **Land Title**: Not on record
* **Maintenance Fee**: RM0.45 psf + RM0.05 psf sinking fund [KB:mcoti2Y2RdORYTeaUI5J]
* **Tenure**: Freehold [KB:mcoti2Y2RdORYTeaUI5J]
* **Total Units**: 35 units [KB:mcoti2Y2RdORYTeaUI5J]
* **Total Floors**: 20 floors [KB:mcoti2Y2RdORYTeaUI5J]
* **Completion / Vacant Possession Date**: VP March 2023 [KB:mcoti2Y2RdORYTeaUI5J]
* **Top Reasons to Buy**: Not on record
* **Furnishing**: Partial (Furnished wet kitchen, air-conditioning, quality flooring) [KB:mcoti2Y2RdORYTeaUI5J]
* **Car Park Allocation**: 2–3 bays per unit (basement bays equipped with power sockets) [KB:mcoti2Y2RdORYTeaUI5J]</t>
        </is>
      </c>
    </row>
    <row r="49" ht="60" customHeight="1">
      <c r="A49" s="36" t="inlineStr">
        <is>
          <t>P42</t>
        </is>
      </c>
      <c r="B49" s="37" t="inlineStr">
        <is>
          <t>Clouthaus KLCC</t>
        </is>
      </c>
      <c r="C49" s="36" t="n">
        <v>40</v>
      </c>
      <c r="D49" s="37" t="inlineStr">
        <is>
          <t>chat-d9038d27-7e90-4114-b630-250a9b5fe4f6</t>
        </is>
      </c>
      <c r="E49" s="25" t="inlineStr">
        <is>
          <t>### **Clouthaus KLCC (CloutHaus Residences)**
#### **Layout Details**
- **Structured Layout Table:** No per-layout unit table (`unitTypes`) is on record.
- **Layout Types &amp; Sizes** [KB:sBrqIGsLH6kceBk3iRCS]:
  - 549 sqft (Studio)
  - 635 sqft (1BR, Type K)
  - 893 sqft (1BR / Dual Key, Type N)
  - 904 sqft (2BR, Type G &amp; H - Garden unit @ L9)
  - 980 sqft (2BR, Type L)
  - 990 sqft (2BR, Type L1)
  - 1,001 sqft (1BR / Dual Key, Type J)
  - 1,098 sqft (1BR / Dual Key, Type B)
  - 1,119 sqft (3BR, Type I - Garden unit @ L9)
  - 1,173 sqft (1BR / Dual Key, Type M)
  - 1,216 sqft (3BR, Type A)
  - *Note:* Up to 3 units facing KLCC / back can be combined into ~2,500 sqft [KB:fpueZnSuu2pHtScnva4B].
- **Per-Layout Nett Price, Gross Price &amp; Sold-Out Status:** Not on record per layout.
- **Pricing Overview:** Starting price from RM1.326m onwards [KB:sBrqIGsLH6kceBk3iRCS]. Nett price is ~RM2,900 psf (mid floor) and ~RM3,100 psf (small units or above 40th floor) [KB:fpueZnSuu2pHtScnva4B, KB:KnVwhJRGzJ3D3HTjGSja].
#### **Project Details**
- **Area:** Jalan Ampang, within Menara TA compound, KLCC area, Kuala Lumpur
- **Developer:** TA Global [KB:sBrqIGsLH6kceBk3iRCS]
- **Land Title:** Commercial land title [KB:KnVwhJRGzJ3D3HTjGSja] / Strata title [KB:sBrqIGsLH6kceBk3iRCS]
- **Maintenance Fee:** RM0.80 psf [KB:cwbasvrpos7i0O4FGKZ6, KB:sBrqIGsLH6kceBk3iRCS]
- **Tenure:** Freehold [KB:sBrqIGsLH6kceBk3iRCS]
- **Total Units:** 615 units [KB:cwbasvrpos7i0O4FGKZ6, KB:sBrqIGsLH6kceBk3iRCS]
- **Total Floors:** 64 storeys (highest residential floor is 63rd) [KB:cwbasvrpos7i0O4FGKZ6]
- **Completion / Vacant Possession Date:** Target completion 2029 (54 months from SPA; construction starts May 2025) [KB:KnVwhJRGzJ3D3HTjGSja, KB:sBrqIGsLH6kceBk3iRCS]
- **Top Reasons to Buy:** Formal structured list not on record, but key highlights include prime location right beside Suria KLCC [KB:sBrqIGsLH6kceBk3iRCS], luxury fittings (Gaggenau kitchen appliances, Laufen sanitaryware, Yale digital lock, marble flooring) [KB:fpueZnSuu2pHtScnva4B], option to convert to dual key [KB:fpueZnSuu2pHtScnva4B], rooftop sky pool on Level 64 [KB:KnVwhJRGzJ3D3HTjGSja], and clear KLCC views above 60th floor [KB:fpueZnSuu2pHtScnva4B].
- **Furnishing:** Partially furnished as standard (full air-conditioning, full kitchen with Gaggenau appliances, full bathroom with Laufen sanitaryware, full wardrobes in all rooms, Yale digital lock, marble flooring) [KB:fpueZnSuu2pHtScnva4B]. Dual key units must be fully furnished [KB:fpueZnSuu2pHtScnva4B].
- **Car Park Allocation:** No designated car park; right to use parking at an estimated RM200/month [KB:KnVwhJRGzJ3D3HTjGSja, KB:cwbasvrpos7i0O4FGKZ6].</t>
        </is>
      </c>
    </row>
    <row r="50" ht="60" customHeight="1">
      <c r="A50" s="36" t="inlineStr">
        <is>
          <t>P43</t>
        </is>
      </c>
      <c r="B50" s="37" t="inlineStr">
        <is>
          <t>Conlay by E&amp;O</t>
        </is>
      </c>
      <c r="C50" s="36" t="n">
        <v>44.4</v>
      </c>
      <c r="D50" s="37" t="inlineStr">
        <is>
          <t>chat-dbb04b1a-a861-4eb9-bc27-b0e1efb6ed81</t>
        </is>
      </c>
      <c r="E50" s="25" t="inlineStr">
        <is>
          <t>### Project Facts: Conlay by E&amp;O
- **Area:** KLCC (Jalan Conlay, Kuala Lumpur City Centre) [KB:56DmBKa1RdExB0Vt3uvg]
- **Developer:** Patsawan Properties Sdn. Bhd. / Orion Tower Sdn. Bhd. (Joint venture between Eastern &amp; Oriental Berhad and Mitsui Fudosan Group) [KB:56DmBKa1RdExB0Vt3uvg] [KB:GGaWlWF1BgiDFd588Wu7]
- **Land Title:** Commercial Title [KB:56DmBKa1RdExB0Vt3uvg]
- **Tenure:** Freehold [KB:56DmBKa1RdExB0Vt3uvg]
- **Maintenance Fee:** Approx. RM0.80 psf [KB:56DmBKa1RdExB0Vt3uvg]
- **Total Units:** 491 units (1 tower) [KB:56DmBKa1RdExB0Vt3uvg]
- **Total Floors:** 51 floors [KB:56DmBKa1RdExB0Vt3uvg]
- **Completion / VP Date:** Q1 2024 (VP Completed) [KB:56DmBKa1RdExB0Vt3uvg]
- **Furnishing:** Complimentary fully furnished package provided by developer [KB:56DmBKa1RdExB0Vt3uvg]
- **Car Park Allocation:** Not on record
### Layout Breakdown
*Overall starting price is on record from RM2.26 million (~RM1,020 psf), with a sales package offering a 10% discount across units. Show unit (2,787 sqft) is listed at RM3,253,842 nett. Individual per-layout gross/nett prices and specific unit availability/sold-out statuses are not on record.* 
- **Type A1:** 743 sqft | 1 Bedroom | Gross Price: Not on record | Nett Price: Not on record | Status: Not on record
- **Type A2:** 904 sqft | 1 Bedroom | Gross Price: Not on record | Nett Price: Not on record | Status: Not on record
- **Type B:** 732 sqft | 1+1 Bedrooms | Gross Price: Not on record | Nett Price: Not on record | Status: Not on record
- **Type B1:** 743 sqft | 1+1 Bedrooms | Gross Price: Not on record | Nett Price: Not on record | Status: Not on record
- **Type B2:** 840 sqft | 1+1 Bedrooms | Gross Price: Not on record | Nett Price: Not on record | Status: Not on record
- **Type B3:** 980 sqft | 1+1 Bedrooms | Gross Price: Not on record | Nett Price: Not on record | Status: Not on record
- **Type B4:** 1,066 sqft | 1+1 Bedrooms | Gross Price: Not on record | Nett Price: Not on record | Status: Not on record
- **Type B5:** 1,109 sqft | 1+1 Bedrooms | Gross Price: Not on record | Nett Price: Not on record | Status: Not on record
- **Type D:** 1,335 sqft | 2+1 Bedrooms | Gross Price: Not on record | Nett Price: Not on record | Status: Not on record
- **Type D1:** 1,389 sqft | 2+1 Bedrooms | Gross Price: Not on record | Nett Price: Not on record | Status: Not on record
- **Type D2:** 1,432 sqft | 2+1 Bedrooms | Gross Price: Not on record | Nett Price: Not on record | Status: Not on record
### Top Reasons to Buy
1. **Iconic Architecture:** Designed by world-renowned architect Kerry Hill (designer of Aman Hotel Tokyo and Datai Langkawi) [KB:56DmBKa1RdExB0Vt3uvg].
2. **Designer Living:** Fully furnished designer residences maintaining premium feel and luxury finishes [KB:56DmBKa1RdExB0Vt3uvg].
3. **Medical Accessibility:** Just 220m from Prince Court Medical Centre [KB:56DmBKa1RdExB0Vt3uvg].
4. **Transit Connectivity:** Only 280m from MRT Conlay, 1 stop to TRX financial district and 1 stop to KLCC [KB:56DmBKa1RdExB0Vt3uvg] [KB:nLi7PV8vRp4aUCM5sNBo].
5. **Panoramic City Views:** Offers 3-facing views of Golf, TRX, and KL city skyline [KB:56DmBKa1RdExB0Vt3uvg].
6. **Prestigious Developers:** Joint development between E&amp;O and Japan's largest developer, Mitsui Fudosan [KB:nLi7PV8vRp4aUCM5sNBo].
7. **Prime Retail Proximity:** Just a 3-minute drive along Jalan Conlay to Pavilion KL [KB:56DmBKa1RdExB0Vt3uvg].</t>
        </is>
      </c>
    </row>
    <row r="51" ht="60" customHeight="1">
      <c r="A51" s="36" t="inlineStr">
        <is>
          <t>P44</t>
        </is>
      </c>
      <c r="B51" s="37" t="inlineStr">
        <is>
          <t>Core Residence @ TRX</t>
        </is>
      </c>
      <c r="C51" s="36" t="n">
        <v>36.5</v>
      </c>
      <c r="D51" s="37" t="inlineStr">
        <is>
          <t>chat-f8a9e946-802e-4b5b-a9ba-7c395bf8423f</t>
        </is>
      </c>
      <c r="E51" s="25" t="inlineStr">
        <is>
          <t>### Core Residence @ TRX — Project Details
#### Layout Details
- **1 Room (624 sqft)** | 1 Bedroom | Nett price: Not on record | Gross price: Not on record
- **1+1 Room (688 sqft)** | 1 Bedroom | Nett price: Not on record | Gross price: Not on record
- **2 Rooms (817 sqft)** | 2 Bedrooms | Nett price: Not on record | Gross price: Not on record
- **2 Rooms (1,011 sqft)** | 2 Bedrooms | **Sold out** | Nett price: Not on record | Gross price: Not on record
- **2+1 Rooms (839 sqft - corner unit)** | 2 Bedrooms | **Sold out** | Nett price: Not on record | Gross price: Not on record
- **2+1 Rooms (925 sqft)** | 2 Bedrooms | **Sold out** | Nett price: Not on record | Gross price: Not on record
- **3 Rooms (1,022 sqft)** | 3 Bedrooms | **Sold out** | Nett price: Not on record | Gross price: Not on record
*(Note: Starting price on record is RM1,431,980, but specific per-layout unit price breakdowns are pending TBC.)*
#### Key Specifications
- **Area:** Tun Razak Exchange (TRX), Kuala Lumpur [KB:BvEOSI2qEJ4oyoNJZe52]
- **Developer:** CCCG joint-venture with WCT / Armani Hartajaya Sdn Bhd under Pavilion Group [KB:BvEOSI2qEJ4oyoNJZe52]
- **Land Title:** Commercial under HDA [KB:BvEOSI2qEJ4oyoNJZe52]
- **Tenure:** Freehold [KB:BvEOSI2qEJ4oyoNJZe52]
- **Maintenance Fee:** Est. RM1.00 psf (inclusive of sinking fund) [KB:BvEOSI2qEJ4oyoNJZe52]
- **Total Units:** 580 residential units (Tower 1 &amp; 2 combined) + 120 hotel suites (Tower 3) [KB:BvEOSI2qEJ4oyoNJZe52]
- **Total Floors:** Tower 1: 50 floors | Tower 2: 47 floors | Tower 3: Hotel suites
- **Completion / Vacant Possession Date:** Q4 2023 [KB:BvEOSI2qEJ4oyoNJZe52]
- **Car Park Allocation:** Not on record
#### Furnishing
- Yale smart lock &amp; smart intercom
- L-shape kitchen cabinet
- Teka microwave oven
- Hood &amp; hob
- 2-in-1 washer dryer
- Full air-conditioning
- Double-glazed windows
- Built-in wardrobe (Blum) in master bedroom &amp; bedroom 2
- Full bath fittings (Kohler &amp; Grohe) &amp; wall-hung toilet bowl
#### Top Reasons to Buy [KB:BvEOSI2qEJ4oyoNJZe52]
1. **Official TRX Address:** 1 of only 2 residential projects located within the official TRX zone with TRX postcode.
2. **Direct Link Bridge:** Exclusive direct link bridge to Central Park for residents only.
3. **10-Acre TRX Park:** Direct access to 10 acres of TRX Park with events lawn, city forest, and gardens.
4. **2.2M sqft TRX Mall:** Attached to TRX lifestyle mall featuring Seibu, Apple Flagship store, and GSC S.E.A IMAX cinema.
5. **Fortune 500 Developer:** Built by CCCG (developer of the HK-Zhuhai-Macau bridge) in JV with WCT.
6. **MRT Interchange Access:** Direct connection through the mall to the TRX MRT1 &amp; MRT2 interchange station.</t>
        </is>
      </c>
    </row>
    <row r="52" ht="60" customHeight="1">
      <c r="A52" s="36" t="inlineStr">
        <is>
          <t>P45</t>
        </is>
      </c>
      <c r="B52" s="37" t="inlineStr">
        <is>
          <t>Dawn KLCC</t>
        </is>
      </c>
      <c r="C52" s="36" t="n">
        <v>28.9</v>
      </c>
      <c r="D52" s="37" t="inlineStr">
        <is>
          <t>chat-e33010ee-d999-44ca-9b20-0aec76a5f888</t>
        </is>
      </c>
      <c r="E52" s="25" t="inlineStr">
        <is>
          <t># Dawn KLCC — Project Details
### Layout Details
* **Tower B (Lifestyle Suites / Non-HDA):**
  * **Type A1:** 350 sq ft | 1 Bed, 1 Bath | Gross/Nett Price: Not on record
  * **Type A2:** 405 sq ft | 1 Bed, 1 Bath | Gross/Nett Price: Not on record
  * **Type A3:** 416 sq ft | 1 Bed, 1 Bath | Gross/Nett Price: Not on record
  * **Type A4:** 350 sq ft | 1 Bed, 1 Bath | Gross/Nett Price: Not on record
  * **Type A5:** 348 sq ft | 1 Bed, 1 Bath | Gross/Nett Price: Not on record
  * **Type A6:** 402 sq ft | 1 Bed, 1 Bath | Gross/Nett Price: Not on record
  * **Type A7:** 413 sq ft | 1 Bed, 1 Bath | Gross/Nett Price: Not on record
* **Tower A (Serviced Apartments / HDA):**
  * **Type B:** 550 sq ft | Dual Key, 2 Baths | Gross/Nett Price: Not on record
  * **Type B1:** 550 sq ft | 2 Beds, 1 Bath | Gross/Nett Price: Not on record
  * **Type C:** 762 sq ft | Dual Key, 2 Baths | **Sold Out**
  * **Type CA:** 806 sq ft | Dual Key, 2 Baths | **Sold Out**
  * **Type C1:** 739 sq ft | 2 Beds, 1 Bath | **Sold Out**
  * **Type C1A:** 780 sq ft | 2 Beds, 1 Bath | **Sold Out**
  * **Type C2:** 785 sq ft | 2 Beds, 1 Bath | **Sold Out**
  * **Type C2A:** 835 sq ft | 2 Beds, 1 Bath | **Sold Out**
  * **Type C3:** 760 sq ft | Dual Key, 2 Baths | **Sold Out**
  * **Type C4:** 804 sq ft | Dual Key, 2 Baths | **Sold Out**
  * **Type C5:** 737 sq ft | 2 Beds, 1 Bath | **Sold Out**
  * **Type C6:** 737 sq ft | 2 Beds, 1 Bath | **Sold Out**
  * **Type C7:** 783 sq ft | 2 Beds, 1 Bath | **Sold Out**
  * **Type C8:** 833 sq ft | 2 Beds, 1 Bath | **Sold Out**
*(Note: Project starting price on record is RM1,270,000. Specific per-layout gross and nett prices are not on record.)*
---
### Project Specifications
* **Area / Location:** Lot 54, 74, 192, Seksyen 44, Off Jalan Ampang, KLCC, Kuala Lumpur (385m to KLCC Twin Towers) [KB:sAEwPtmvaST2Tg4QHrKf]
* **Developer:** Dawn Land Sdn Bhd (Affiliate of Chin Hin Group Property Berhad) [KB:sAEwPtmvaST2Tg4QHrKf]
* **Land Title:** Commercial [KB:sAEwPtmvaST2Tg4QHrKf]
* **Tenure:** Freehold [KB:sAEwPtmvaST2Tg4QHrKf]
* **Total Units:** 960 units (Tower A: 492 units | Tower B: 468 units) [KB:sAEwPtmvaST2Tg4QHrKf]
* **Total Floors:** Up to Level 68 (Sky Bar on Level 68) [KB:RS93Pfs0E50i7Uxw4tfe]
* **Completion / VP Date:** Target 2029 (Estimated 62 months from SPA date) [KB:YznPpbgj05GmYJapkHrI]
* **Maintenance Fee:** Charged based on allocated share units as per Strata Management Act 2013 (exact per sq ft rate is not on record) [KB:YznPpbgj05GmYJapkHrI]
* **Car Park Allocation:** Nil (No allocated car park bay per unit; estimated season parking rate RM200/month) [KB:hJTpuRZMPE7xn5M43Q1J, KB:RS93Pfs0E50i7Uxw4tfe]
* **Furnishing:** 
  * **Type A &amp; B:** Fully Furnished (15% discount package) or Partially Furnished (20% discount package)
  * Fitted kitchen by Signature Kitchen (TBC)
---
### Top Reasons to Buy
1. **Prime Freehold Location:** Situated 385m from KLCC, walking distance to LRT KLCC &amp; Kampung Baru, and right next to the iconic Saloma Bridge [KB:sAEwPtmvaST2Tg4QHrKf, KB:YznPpbgj05GmYJapkHrI].
2. **Distinctive Architecture &amp; Facilities:** Level 68 highest sky lounge &amp; F&amp;B bar with 360° KL views and high-floor pool/gym facing KLCC [KB:B4K5eielz1ZKU9xwrPM4, KB:YznPpbgj05GmYJapkHrI].
3. **GreenRE Certified &amp; Sustainable Design:** Energy-efficient North-South orientation, natural ventilation, and daylight optimization [KB:B4K5eielz1ZKU9xwrPM4, KB:YznPpbgj05GmYJapkHrI].</t>
        </is>
      </c>
    </row>
    <row r="53" ht="60" customHeight="1">
      <c r="A53" s="36" t="inlineStr">
        <is>
          <t>P46</t>
        </is>
      </c>
      <c r="B53" s="37" t="inlineStr">
        <is>
          <t>Eaton Residences by Sutera @ KLCC</t>
        </is>
      </c>
      <c r="C53" s="36" t="n">
        <v>37</v>
      </c>
      <c r="D53" s="37" t="inlineStr">
        <is>
          <t>chat-d77ef29a-36b5-4cf7-a28d-5fb288a6f84d</t>
        </is>
      </c>
      <c r="E53" s="25" t="inlineStr">
        <is>
          <t>Here are the full details for **Eaton Residences by Sutera @ KLCC** (Project ID: `A7h6tCOPvghxPHW1l5JA`):
### Project Overview &amp; Facts
* **Area:** KLCC (Jalan Kia Peng, Kuala Lumpur) [KB:cde5ArGy9wCRzO1C6wa2]
* **Developer:** City View Ventures Sdn Bhd (a subsidiary of GSH Corporation Ltd – listed on SGX) / DAC Development [KB:cde5ArGy9wCRzO1C6wa2] [KB:5kzs25f16RvEC9IZSzMx]
* **Land Title:** Not on record
* **Tenure:** Leasehold (expiring 31st Dec 2114) [KB:cde5ArGy9wCRzO1C6wa2]
* **Maintenance Fee:** RM0.65 psf (inclusive of sinking fund) [KB:cde5ArGy9wCRzO1C6wa2] [KB:X0gjysn6HCjfAbG8FMPg]
* **Total Units:** 632 units [KB:Li91Bc88i9TWX8UWO7G9] (also noted as 960 units across 2 towers in alternative fact sheet [KB:cde5ArGy9wCRzO1C6wa2])
* **Total Floors:** 52 floors [KB:Li91Bc88i9TWX8UWO7G9] [KB:5kzs25f16RvEC9IZSzMx]
* **Completion / Vacant Possession Date:** Q1 2022 (Completed / VP Delivered) [KB:cde5ArGy9wCRzO1C6wa2]
* **Furnishing:** Fully ID furnished (Show units and Airbnb-ready units) [KB:X0gjysn6HCjfAbG8FMPg]
* **Car Park Allocation:** [KB:Li91Bc88i9TWX8UWO7G9] [KB:X0gjysn6HCjfAbG8FMPg]
  * Units &lt; 1,000 sq. ft.: 1 car park
  * Units ≥ 1,000 sq. ft.: 2 tandem car parks
  * Penthouses: 4 tandem car parks
  * Car park levels: Basement 1–3 and Levels 1–7
---
### Layout Details
*Project base price starts from RM1,148,750. Individual layout nett and gross prices per floor/unit are **not on record**. None of the units are marked as sold out on record.*
* **1 Bedroom:** 635 sq. ft. | 1 Bedroom | **Nett Price:** Not on record | **Gross Price:** Not on record
* **1 + 1 Flexi Room:** 775 / 840 sq. ft. (also 872 sq. ft. [KB:Li91Bc88i9TWX8UWO7G9]) | 1+1 Bedrooms | **Nett Price:** Not on record | **Gross Price:** Not on record
* **2 + 1 Bedrooms:** 1,410 sq. ft. | 2+1 Bedrooms | **Nett Price:** Not on record | **Gross Price:** Not on record
* **3 Bedrooms (Corner):** 1,550 sq. ft. | 3 Bedrooms | **Nett Price:** Not on record | **Gross Price:** Not on record
* **Penthouse:** 2,885 sq. ft. [KB:Li91Bc88i9TWX8UWO7G9] | Bedrooms: Not on record | **Nett Price:** Not on record | **Gross Price:** Not on record
---
### Top Reasons to Buy
1. **Prime Connectivity &amp; Location:** 190m (3-minute walk) to MRT Conlay Station; ~1.1km to Pavilion KL &amp; Bukit Bintang F&amp;B hub [KB:X0gjysn6HCjfAbG8FMPg] [KB:Li91Bc88i9TWX8UWO7G9].
2. **Iconic Cantilevered Pool:** Features Malaysia's largest and highest cantilevered infinity pool on the 51st floor with unblocked KLCC Twin Towers view [KB:X0gjysn6HCjfAbG8FMPg].
3. **Proven Rental &amp; Airbnb Demand:** Popular choice for short-term and Airbnb rental in KLCC Golden Triangle [KB:X0gjysn6HCjfAbG8FMPg].
4. **Reputable Developer:** Developed by GSH Corporation, a listed developer on the Singapore Exchange [KB:Li91Bc88i9TWX8UWO7G9] [KB:5kzs25f16RvEC9IZSzMx].</t>
        </is>
      </c>
    </row>
    <row r="54" ht="60" customHeight="1">
      <c r="A54" s="36" t="inlineStr">
        <is>
          <t>P47</t>
        </is>
      </c>
      <c r="B54" s="37" t="inlineStr">
        <is>
          <t>Platinum Face Suite 2 KLCC</t>
        </is>
      </c>
      <c r="C54" s="36" t="n">
        <v>31</v>
      </c>
      <c r="D54" s="37" t="inlineStr">
        <is>
          <t>chat-c3c512b6-9da8-4aae-80fa-9df5262ed025</t>
        </is>
      </c>
      <c r="E54" s="25" t="inlineStr">
        <is>
          <t>### Platinum Face Suite 2 KLCC (Project ID: `mkhvGpzdLqmO1Y6o6M1F`)
#### Layout Details
- **3 Bedrooms**: 1,625 sq.ft | 3 Bedrooms [KB:SieftkOFkw7EnL8P04JS]
  - **Gross Price**: Not on record
  - **Nett Price**: Not on record
  - **Sold Out Status**: Not on record (Project has average rate on record of ~RM2,000 psf)
*(Note: Project descriptions also list Studio layouts: 550, 560, 650, 765 sq.ft and 2 Bedrooms: 1,150, 1,195 sq.ft [KB:SieftkOFkw7EnL8P04JS], but exact per-layout nett and gross prices are not on record.)*
#### Project Information
- **Area**: KLCC (Jalan Sultan Ismail, Kuala Lumpur) [KB:s6Cq9o9dg427IbJCmEW6]
- **Developer**: Andarama SB under Quill group of companies / Platinum Victory Suites [KB:s6Cq9o9dg427IbJCmEW6]
- **Land Title**: Commercial (with hotel license) [KB:s6Cq9o9dg427IbJCmEW6]
- **Maintenance Fee**: RM0.55 psf [KB:s6Cq9o9dg427IbJCmEW6]
- **Tenure**: Freehold [KB:s6Cq9o9dg427IbJCmEW6]
- **Total Units**: 733 units [KB:s6Cq9o9dg427IbJCmEW6]
- **Total Floors**: 51 floors [KB:s6Cq9o9dg427IbJCmEW6]
- **Completion / Vacant Possession Date**: Completed [KB:s6Cq9o9dg427IbJCmEW6]
- **Top Reasons to Buy**: Not on record (please verify with D2 sales admin)
- **Furnishing**: Fully furnished, hotel-style finishing [KB:SieftkOFkw7EnL8P04JS]
- **Car Park Allocation**: 1 car park per unit [KB:SieftkOFkw7EnL8P04JS]</t>
        </is>
      </c>
    </row>
    <row r="55" ht="60" customHeight="1">
      <c r="A55" s="36" t="inlineStr">
        <is>
          <t>P48</t>
        </is>
      </c>
      <c r="B55" s="37" t="inlineStr">
        <is>
          <t>Armani Hallson @ Jalan Ampang</t>
        </is>
      </c>
      <c r="C55" s="36" t="n">
        <v>36.5</v>
      </c>
      <c r="D55" s="37" t="inlineStr">
        <is>
          <t>chat-6f3d3d33-a4f0-4c23-a501-eb623f4994ec</t>
        </is>
      </c>
      <c r="E55" s="25" t="inlineStr">
        <is>
          <t>### Armani Hallson @ Jalan Ampang — Project Details
**Project Facts:**
- **Area:** Jalan Ampang, Kuala Lumpur [KB:VeqOCBmCFSVa3TlWqzMC]
- **Developer:** Armani Hallson KLCC Sdn Bhd / KL Metro Group [KB:VeqOCBmCFSVa3TlWqzMC], [KB:3icJesyZ6yHkdtOR5nbo]
- **Land Title:** Commercial (SOHO/SOVO) (exact land title document type is not on record)
- **Tenure:** Freehold [KB:VeqOCBmCFSVa3TlWqzMC]
- **Maintenance Fee:** RM0.95 psf (inclusive of sinking fund) [KB:Qg8MQexlDPWEUt5QF7yG]
- **Total Units:** 2,215 units (SOHO: 775 units | SOVO: 1,440 units) [KB:GpkrmbhIZyi9w9orPorJ]
- **Total Floors:** 69 floors (SOHO tower) | 78 floors (SOVO towers) [KB:GpkrmbhIZyi9w9orPorJ]
- **Completion / Vacant Possession Date:** Year 2029 [KB:GpkrmbhIZyi9w9orPorJ]
- **Furnishing:** Fully furnished
- **Car Park Allocation:** 1,189 total parking lots [KB:3icJesyZ6yHkdtOR5nbo] (Dual-key units come with car park; specific car park count per individual layout is not on record)
---
### Layout Breakdown
**SOVO Layouts:**
- **Type A (776 sq.ft, 224 units):** Bedrooms: not on record | Nett Price: not on record | Gross Price: not on record
- **Type B (406 sq.ft, 672 units):** Bedrooms: not on record | Nett Price: not on record | Gross Price: not on record
- **Type B1 (438 sq.ft, 372 units):** Bedrooms: not on record | Nett Price: not on record | Gross Price: not on record
- **Type C (813 sq.ft, 112 units):** Bedrooms: not on record | Nett Price: not on record | Gross Price: not on record
- **Type D (813 sq.ft, 36 units):** Bedrooms: not on record | Nett Price: not on record | Gross Price: not on record
- **Type E (1,182 sq.ft, 24 units):** Bedrooms: not on record | Nett Price: not on record | Gross Price: not on record
**SOHO Layouts:**
- **Type A (558 sq.ft, 456 units):** Bedrooms: not on record | Nett Price: not on record | Gross Price: not on record
- **Type B (538 sq.ft, 319 units):** Bedrooms: not on record | Nett Price: not on record | Gross Price: not on record
*(Note: Total layout prices are not on record. Rates on record are RM1,600 psf nett for SOHO, RM1,800 psf nett for SOVO internal view, and RM2,200 psf nett for SOVO KLCC view).* 
---
### Top Reasons to Buy
1. **Prime CBD Address:** Located in the heart of Kuala Lumpur CBD along Jalan Ampang, near TRX and Petronas Twin Towers [KB:Qg8MQexlDPWEUt5QF7yG].
2. **Direct Link Bridge:** Features a DBKL-approved 300m link bridge directly connecting to KLCC.
3. **Turnkey Investment:** Fully furnished units managed by Airbnb operator Five Sense with a 4% minimum performance assurance.
4. **Guest Amenities:** 18–24 hour common facilities designed to accommodate short-stay tenants and maximize rental appeal.</t>
        </is>
      </c>
    </row>
    <row r="56" ht="60" customHeight="1">
      <c r="A56" s="36" t="inlineStr">
        <is>
          <t>P49</t>
        </is>
      </c>
      <c r="B56" s="37" t="inlineStr">
        <is>
          <t>Orion Residence</t>
        </is>
      </c>
      <c r="C56" s="36" t="n">
        <v>45</v>
      </c>
      <c r="D56" s="37" t="inlineStr">
        <is>
          <t>chat-07b4a18f-524f-483d-a597-3dd0f6d77b22</t>
        </is>
      </c>
      <c r="E56" s="25" t="inlineStr">
        <is>
          <t>Here are the details for **Orion Residence** (Project ID: `un96QODcMT41aS81jAje`):
### **Project Details**
- **Area:** Bukit Bintang, Kuala Lumpur
- **Developer:** Orion Tower Sdn. Bhd
- **Land Title:** Commercial under HDA [KB:CP52wjOx3r0epR0umV3P]
- **Tenure:** Freehold
- **Total Units:** 298 units [KB:CP52wjOx3r0epR0umV3P]
- **Total Floors:** 46 floors (1 Tower) [KB:CP52wjOx3r0epR0umV3P]
- **Maintenance Fee:** RM1.32 psf including sinking fund (Free 2 years maintenance fees upon CCC; free up to 9 years on selected promotional packages) [KB:9mpzqttssJ5gWRA8d9V1][KB:NlauwbekbfyxchI9OlI6]
- **Completion / VP Date:** Estimated Q2 2025 [KB:9mpzqttssJ5gWRA8d9V1]
- **Furnishing:** Fully furnished with 5-star interior design standards [KB:9mpzqttssJ5gWRA8d9V1]
- **Car Park Allocation:** 1 car park right per unit (Automated Mechanism Car Park System) [KB:CP52wjOx3r0epR0umV3P]
---
### **Layout Details**
*(Overall Project Price Range: RM 1.45 Million – RM 4.00 Million [KB:9mpzqttssJ5gWRA8d9V1]; individual nett and gross prices per specific layout are **not on record**)*
#### **Studio Layouts**
- **Type A1 &amp; A2:** 495 sq ft | Studio | Nett Price: not on record | Gross Price: not on record
- **Type A3:** 497 sq ft | Studio | Nett Price: not on record | Gross Price: not on record
- **Type A4:** 491 sq ft | Studio | Nett Price: not on record | Gross Price: not on record
- **Type A4-T:** 588 sq ft (with Private Terrace) | Studio | Nett Price: not on record | Gross Price: not on record
#### **2-Bedroom Layouts**
- **Type B1:** 680 sq ft | 2 Bedrooms | Nett Price: not on record | Gross Price: not on record
- **Type B2:** 746 sq ft | 2 Bedrooms | Nett Price: not on record | Gross Price: not on record
- **Type B3:** 746 sq ft | 2 Bedrooms | Nett Price: not on record | Gross Price: not on record
- **Type B4:** 708 sq ft | 2 Bedrooms | Nett Price: not on record | Gross Price: not on record
- **Type C1:** 838 sq ft | 2 Bedrooms | Nett Price: not on record | Gross Price: not on record
- **Type C2:** 945 sq ft | 2 Bedrooms | Nett Price: not on record | Gross Price: not on record
- **Type C3:** 923 sq ft | 2 Bedrooms | Nett Price: not on record | Gross Price: not on record
- **Type C3-T:** 1,155 sq ft (with Private Terrace) | 2 Bedrooms | Nett Price: not on record | Gross Price: not on record
- **Type C4:** 992 sq ft | 2 Bedrooms | Nett Price: not on record | Gross Price: not on record
- **Type C4-T:** 1,186 sq ft (with Private Terrace) | 2 Bedrooms | Nett Price: not on record | Gross Price: not on record
- **Type C5:** 886 sq ft | 2 Bedrooms | Nett Price: not on record | Gross Price: not on record
- **Type C5-T:** 1,077 sq ft (with Private Terrace) | 2 Bedrooms | Nett Price: not on record | Gross Price: not on record
#### **3-Bedroom Dual-Key Layouts**
- **Type D1:** 1,180 sq ft | 3 Bedrooms | Nett Price: not on record | Gross Price: not on record
- **Type D2:** 1,329 sq ft | 3 Bedrooms | Nett Price: not on record | Gross Price: not on record
- **Type D3:** 1,230 sq ft | 3 Bedrooms | Nett Price: not on record | Gross Price: not on record
- **Type D4:** 1,271 sq ft | 3 Bedrooms | Nett Price: not on record | Gross Price: not on record
#### **Penthouse**
- **Penthouse (2 units):** **SOLD OUT** [KB:CP52wjOx3r0epR0umV3P] | Size: not on record | Nett Price: not on record | Gross Price: not on record
---
### **Top Reasons to Buy**
1. **Ultra-Prime Address:** Situated in Bukit Bintang directly next to Starhill Gallery and The Ritz-Carlton, ~200m to Pavilion KL and TRX.
2. **Unique Architectural Feature:** Features Southeast Asia's first outdoor glass elevator taking residents up to Level 43 [KB:CP52wjOx3r0epR0umV3P].
3. **Turnkey Luxury:** Fully designer-furnished and move-in ready upon VP [KB:9mpzqttssJ5gWRA8d9V1].
4. **Structured Investment Returns:** Investment rental pool offering 70:30 profit sharing listed via Marriott online platform [KB:9mpzqttssJ5gWRA8d9V1][KB:NlauwbekbfyxchI9OlI6].</t>
        </is>
      </c>
    </row>
    <row r="57" ht="60" customHeight="1">
      <c r="A57" s="36" t="inlineStr">
        <is>
          <t>P50</t>
        </is>
      </c>
      <c r="B57" s="37" t="inlineStr">
        <is>
          <t>PSQ Pavilion Square</t>
        </is>
      </c>
      <c r="C57" s="36" t="n">
        <v>42</v>
      </c>
      <c r="D57" s="37" t="inlineStr">
        <is>
          <t>chat-87ab09e9-45fa-43b4-8418-c107731e39aa</t>
        </is>
      </c>
      <c r="E57" s="25" t="inlineStr">
        <is>
          <t>Here are the details on record for **PSQ Pavilion Square**:
### 🏢 Project Overview
- **Area**: Bukit Bintang, Kuala Lumpur (Opposite Pavilion KL Mall, Jalan Bukit Bintang) [KB:6vGV2DMNKFrSCPVFfEoK]
- **Developer**: Armani Hartajaya Sdn Bhd under Pavilion Group / Hartamaju Sdn Bhd (subsidiary of Wing Tai Malaysia Sdn Bhd) [KB:6vGV2DMNKFrSCPVFfEoK]
- **Land Title**: Commercial title, Serviced Residence under HDA [KB:Ep4l1Rr3RwGPFg2inNIM]
- **Tenure**: Leasehold till 4 October 2122 (99-year lease) [KB:6vGV2DMNKFrSCPVFfEoK, KB:Ep4l1Rr3RwGPFg2inNIM]
- **Total Units**: 960 luxury residence units (plus 106 corporate suites and 6 retail units) [KB:6vGV2DMNKFrSCPVFfEoK, KB:w7ZFTNAXew2ocdrnCUKr]
- **Total Floors**: 67 storeys (residence tower) / 92 storeys total structure [KB:6vGV2DMNKFrSCPVFfEoK, KB:w7ZFTNAXew2ocdrnCUKr]
- **Maintenance Fee**: RM0.99 per sq. ft. (inclusive of sinking fund) [KB:6vGV2DMNKFrSCPVFfEoK]
- **Completion / Vacant Possession Date**: Target completion Q3 2029 / 2030 (58 months from SPA) [KB:Ep4l1Rr3RwGPFg2inNIM]
- **Furnishing**: Exclusively fully furnished
- **Car Park Allocation**: 
  - 504 sq. ft.: Not applicable (0 carpark)
  - 700–1,100 sq. ft.: 1 carpark slot
  - Total carparks in development: 762 slots [KB:Ep4l1Rr3RwGPFg2inNIM]
- **Top Reasons to Buy**: Not on record (no official list on record; key highlights include direct link bridge to Pavilion KL Mall, 15,000 sq. ft. sky gym, 118m infinity sky pool, and dedicated Pavilion Concierge services) [KB:PNM4brdFGRYb6oDDlVY2, KB:w7ZFTNAXew2ocdrnCUKr]
---
### 📐 Layout Details &amp; Pricing
- **Overall Price Range**: RM1,319,000 to RM5,409,000 (Average RM2,600 – RM3,300 psf) [KB:gJZlQW6IQLEu0gs2lP4O]
- **Nett Price &amp; Gross Price per Layout**: Not on record (individual nett and gross price breakdowns per layout are not specified in the project system)
- **Sold Out Status**: No layouts are marked sold out on record
**Layout Types on Record:**
- **Type A**: 504 sq. ft. | 0 Bedrooms (Studio) | Nett Price: Not on record | Gross Price: Not on record
- **2 Rooms**: 966 sq. ft. | 2 Bedrooms | Nett Price: Not on record | Gross Price: Not on record
- **Type D**: 1,255 sq. ft. | 3 Bedrooms | Nett Price: Not on record | Gross Price: Not on record
*(Additional sub-types listed in developer documentation include Type B1/B2 770–772 sq. ft. 1+1 Rooms and Type C1–C4 966–1,272 sq. ft. 2 to 2+1 Rooms [KB:Ep4l1Rr3RwGPFg2inNIM]).*</t>
        </is>
      </c>
    </row>
    <row r="58" ht="60" customHeight="1">
      <c r="A58" s="36" t="inlineStr">
        <is>
          <t>P51</t>
        </is>
      </c>
      <c r="B58" s="37" t="inlineStr">
        <is>
          <t>Katana 2 Residence</t>
        </is>
      </c>
      <c r="C58" s="36" t="n">
        <v>42.9</v>
      </c>
      <c r="D58" s="37" t="inlineStr">
        <is>
          <t>chat-fb941641-78d5-4d2a-8f7b-9dca866d7e9a</t>
        </is>
      </c>
      <c r="E58" s="25" t="inlineStr">
        <is>
          <t>### Katana 2 Residence (Project ID: `Tmo9EmmnZDS8lie97BzS`)
#### Project Overview
- **Area:** Uthant, KLCC / Bukit Bintang area, Kuala Lumpur (2km from KL City Centre, 280m / 3-min walk to ISKL) [KB:7K6g7megCnLfz8eBqvLn]
- **Developer:** BSG Group / UM Land Bhd &amp; Symphony Life Bhd [KB:7K6g7megCnLfz8eBqvLn]
- **Land Title:** Strata Title [KB:7K6g7megCnLfz8eBqvLn]
- **Tenure:** Freehold [KB:f6Oqu7V1ozWoUq1sV1ae]
- **Maintenance Fee:** RM0.435 psf (inclusive of sinking fund) [KB:7K6g7megCnLfz8eBqvLn] (Updated rate: RM0.54 psf [KB:EhnyXVbZkpwT21HwsWj2])
- **Total Units:** 40 Units [KB:7K6g7megCnLfz8eBqvLn]
- **Total Floors:** Limited to 10 floors [KB:7K6g7megCnLfz8eBqvLn]
- **Completion Date:** 2010 [KB:7K6g7megCnLfz8eBqvLn]
- **Furnishing:** Fully Furnished / Partly Furnished depending on unit [KB:7K6g7megCnLfz8eBqvLn][KB:3jfH6m9MXRdEXNOg1cBw]
- **Car Park Allocation:** 3 basement parking bays per unit [KB:jY4dbpTt1jBuzxbDj2K8][KB:EhnyXVbZkpwT21HwsWj2]
#### Layout Details
*Note: Structured per-layout table (`unitTypes`) is not on record. Below are the recorded available unit layouts:*
1. **Designer Loft (Unit A-3A-02 / A-4-02)**
   - **Size:** 3,541 sq ft [KB:3jfH6m9MXRdEXNOg1cBw]
   - **Bedrooms:** 4+1 [KB:jY4dbpTt1jBuzxbDj2K8]
   - **Gross Price (List Price):** RM4,426,250 [KB:3jfH6m9MXRdEXNOg1cBw]
   - **Nett Price (SPA Price):** RM4,276,250 (after RM150,000 discount) [KB:3jfH6m9MXRdEXNOg1cBw]
   - **Status:** Available
2. **Designer Loft (Unit A-3-02)**
   - **Size:** 3,778 sq ft [KB:3jfH6m9MXRdEXNOg1cBw]
   - **Bedrooms:** 4+1 [KB:jY4dbpTt1jBuzxbDj2K8]
   - **Gross Price (List Price):** RM5,100,300 [KB:3jfH6m9MXRdEXNOg1cBw]
   - **Nett Price (SPA Price):** RM4,980,000 (after RM120,300 discount) [KB:3jfH6m9MXRdEXNOg1cBw]
   - **Status:** Available
3. **Super Triplex Penthouse (Unit A-9-1)**
   - **Size:** 6,286 sq ft [KB:3jfH6m9MXRdEXNOg1cBw]
   - **Bedrooms:** 4+1 [KB:jY4dbpTt1jBuzxbDj2K8]
   - **Gross Price (List Price):** RM12,257,700 [KB:3jfH6m9MXRdEXNOg1cBw]
   - **Nett Price (SPA Price):** RM12,000,000 (after RM257,700 rebate) [KB:3jfH6m9MXRdEXNOg1cBw]
   - **Status:** Available
4. **Penthouse (Unit C-10-2)**
   - **Size:** 6,168 sq ft [KB:jY4dbpTt1jBuzxbDj2K8]
   - **Bedrooms:** 4+1 [KB:jY4dbpTt1jBuzxbDj2K8]
   - **Gross Price:** Not on record
   - **Nett Price:** Not on record
   - **Status:** Available
*Other unlisted standard layouts: Not on record / sold out.*
#### Top Reasons to Buy [KB:7K6g7megCnLfz8eBqvLn]
1. **3-min walk to ISKL:** Located just 280m down the street from ISKL.
2. **Exclusive Uthant Enclave:** Prestigious neighborhood surrounded by embassies and high-profile residents.
3. **Low-Rise Privacy:** Height restricted to 10 floors due to 53 surrounding embassies.
4. **High Security:** Benefit from heightened security surrounding diplomatic residences.
5. **Ultra Low-Density:** Only 40 homes spread across 1 acre of land.
6. **Generous Living Spaces:** Units range from 3,500 sq ft to over 6,000 sq ft.
7. **City Proximity:** Only 2km to KLCC while retaining a peaceful, low-density environment.
8. **Strong Value Proposition:** Lower RM psf compared to core KLCC luxury properties.
9. **Move-in Condition:** Select developer-cleared units include brand-new furniture and ID packages.</t>
        </is>
      </c>
    </row>
    <row r="59" ht="60" customHeight="1">
      <c r="A59" s="36" t="inlineStr">
        <is>
          <t>P52</t>
        </is>
      </c>
      <c r="B59" s="37" t="inlineStr">
        <is>
          <t>The Centrix</t>
        </is>
      </c>
      <c r="C59" s="36" t="n">
        <v>27.9</v>
      </c>
      <c r="D59" s="37" t="inlineStr">
        <is>
          <t>chat-79a253d4-4db3-4133-93b7-fc384eab0ab9</t>
        </is>
      </c>
      <c r="E59" s="25" t="inlineStr">
        <is>
          <t>Here are the project details for **The Centrix** (Project ID: `cPm26piH01BLSP7QLZkx`):
### Layout Details
*Note: Total gross and nett prices per specific layout are **not on record** ( pricing on record is listed as a VVIP rate from RM1,350 psf).* None of the layouts are listed as sold out.
- **Studio**: 571 – 868 sq ft | 0 Bedrooms | Gross &amp; Nett Price: Not on record
- **1 Bedroom**: 566 – 819 sq ft | 1 Bedroom | Gross &amp; Nett Price: Not on record
- **2 Bedroom**: 718 – 1015 sq ft | 2 Bedrooms | Gross &amp; Nett Price: Not on record
- **3 Bedroom**: 1010 – 1187 sq ft | 3 Bedrooms | Gross &amp; Nett Price: Not on record
- **Dual Key**: 593 – 1039 sq ft | Bedrooms: Not on record | Gross &amp; Nett Price: Not on record
### Project Summary
- **Area**: Dang Wangi Station, KLCC / Bukit Bintang area, Kuala Lumpur (0m to LRT Dang Wangi, 900m to KLCC)
- **Developer**: DAC Development / Intan Sekitar Sdn Bhd (Crest Builder Berhad) / Multibay Development Sdn Bhd (subsidiary of Golden Eagle Group) [KB:TII70fkIrxauDrED7Dvs]
- **Land Title**: Commercial [KB:TII70fkIrxauDrED7Dvs]
- **Maintenance Fee**: RM0.44 psf (includes sinking fund)
- **Tenure**: Leasehold 99 years (Leasehold 2128) [KB:TII70fkIrxauDrED7Dvs]
- **Total Units**: 857 units [KB:TII70fkIrxauDrED7Dvs]
- **Total Floors**: 47 storeys [KB:TII70fkIrxauDrED7Dvs]
- **Completion / VP Date**: Target 2nd Half 2029 [KB:TII70fkIrxauDrED7Dvs]
- **Top Reasons to Buy**: Not on record as a formal structured section in the official record
- **Furnishing**: Partly / Fully Furnished (includes air-conditioners, water heater, kitchen cabinet, hood &amp; hob, wardrobe, fridge, and 2-in-1 washer &amp; dryer)
- **Car Park Allocation**: 645 total spaces (First come, first serve basis)</t>
        </is>
      </c>
    </row>
    <row r="60" ht="60" customHeight="1">
      <c r="A60" s="36" t="inlineStr">
        <is>
          <t>P53</t>
        </is>
      </c>
      <c r="B60" s="37" t="inlineStr">
        <is>
          <t>Quill Residences KLCC</t>
        </is>
      </c>
      <c r="C60" s="36" t="n">
        <v>37</v>
      </c>
      <c r="D60" s="37" t="inlineStr">
        <is>
          <t>chat-db4621bb-b622-48c0-8acc-7db53cc45e8e</t>
        </is>
      </c>
      <c r="E60" s="25" t="inlineStr">
        <is>
          <t>### Quill Residences KLCC (Project ID: 6Vl2Py196ogTG3seI28U)
#### Layouts &amp; Pricing
- **Type S1 (667 sqft)** — 1 Bedroom, 1 Bathroom, 1 Balcony
  - **Listed Price:** RM761,000 (Note: marked as sold out in sales charts [KB:bVtd28Icpk7daEShqRkH])
  - **Nett / Gross Price Breakdown:** Not on record
- **Type C3 (732 sqft)** — 1 Bedroom, 1+1 Bathrooms (Corner)
  - **Listed Price:** RM878,000 (KB updates range RM690,000 – RM820,000 [KB:UVxPQbugESP6jzWhE2j6, KB:myfLPVFuvarXlDR1HnLW])
  - **Nett / Gross Price Breakdown:** Not on record
- **Type C1 (1,367 sqft)** — 2 Bedrooms, 2 Bathrooms, 2 Balconies
  - **Listed Price:** RM1,403,000 (KB updates range RM1.32 mil – RM1.45 mil [KB:UVxPQbugESP6jzWhE2j6, KB:myfLPVFuvarXlDR1HnLW])
  - **Nett / Gross Price Breakdown:** Not on record
#### Project Details
- **Area:** Jalan Sultan Ismail above Quill City Mall, Golden Triangle KL [KB:UVxPQbugESP6jzWhE2j6]
- **Developer:** Andarama Sdn Bhd under Quill Group of Companies [KB:UVxPQbugESP6jzWhE2j6]
- **Land Title:** Commercial under HDA [KB:UVxPQbugESP6jzWhE2j6]
- **Maintenance Fee:** RM0.55 psf excluding sinking fund [KB:UVxPQbugESP6jzWhE2j6]
- **Tenure:** Freehold [KB:UVxPQbugESP6jzWhE2j6]
- **Total Units:** 1 block, 552 units [KB:UVxPQbugESP6jzWhE2j6]
- **Total Floors:** Not on record
- **Completion / VP Date:** Completed (VP Date: Q2 2023) [KB:bVtd28Icpk7daEShqRkH]
- **Car Park Allocation:** 1 car park per unit [KB:UVxPQbugESP6jzWhE2j6]
- **Furnishing:** Partly furnished with full air-conditioners, fitted bathrooms, kitchen cabinets and appliances (hob &amp; hood, microwave oven, washing machine), and plaster ceiling with lightings [KB:UVxPQbugESP6jzWhE2j6, KB:myfLPVFuvarXlDR1HnLW]
#### Top Reasons to Buy
1. **Prestigious Location:** Situated along Jalan Sultan Ismail alongside premier hotels including Shangri-La, Renaissance, Sheraton, and Concorde [KB:UVxPQbugESP6jzWhE2j6].
2. **Direct Mall Convenience:** Built directly above Quill City Mall (770k sq ft mall featuring GSC Cinema, NSK Premium Grocer, Starbucks, H&amp;M) [KB:KQKThO10yT1ouCYyqUuH].
3. **Covered Transit Link:** 50m direct covered walkway connecting Level 2 to the Monorail station [KB:KQKThO10yT1ouCYyqUuH].</t>
        </is>
      </c>
    </row>
    <row r="61" ht="60" customHeight="1">
      <c r="A61" s="36" t="inlineStr">
        <is>
          <t>P54</t>
        </is>
      </c>
      <c r="B61" s="37" t="inlineStr">
        <is>
          <t>Royal Lexis KL</t>
        </is>
      </c>
      <c r="C61" s="36" t="n">
        <v>33.8</v>
      </c>
      <c r="D61" s="37" t="inlineStr">
        <is>
          <t>chat-7597ef0c-464e-46e3-91db-6713ee42b801</t>
        </is>
      </c>
      <c r="E61" s="25" t="inlineStr">
        <is>
          <t>Here are the project details for **Royal Lexis KL** [KB:JbBcn2BNu1XQPlmfEzYr]:
### Layout Details [KB:uelnMbxBB9NZC56AoeyZ, KB:m7UYL4cZA0xTzLuWXMnq]
*All units feature a private pool [KB:5iolpluMm8LOSwn2b6yX].*
- **Type A**
  - **Size:** 573 sq ft [KB:uelnMbxBB9NZC56AoeyZ]
  - **Bedrooms:** 1 Bedroom [KB:m7UYL4cZA0xTzLuWXMnq]
  - **Nett Price:** Not on record
  - **Gross Price:** Not on record
  - **Status:** Available (not marked sold out)
- **Type B**
  - **Size:** 802 sq ft [KB:uelnMbxBB9NZC56AoeyZ]
  - **Bedrooms:** 1 Bedroom (2 beds) [KB:m7UYL4cZA0xTzLuWXMnq]
  - **Nett Price:** Not on record
  - **Gross Price:** Not on record
  - **Status:** Available (not marked sold out)
- **Type C**
  - **Size:** 1,053 / 1,085 / 1,225 sq ft [KB:uelnMbxBB9NZC56AoeyZ]
  - **Bedrooms:** 2 Bedrooms (Dual Key) [KB:uelnMbxBB9NZC56AoeyZ]
  - **Nett Price:** Not on record
  - **Gross Price:** Not on record
  - **Status:** Available (not marked sold out)
*(Note: Overall project starting price is from RM1,725,000 / from RM2,900 psf [KB:m7UYL4cZA0xTzLuWXMnq], but layout-specific gross and nett pricing tables are not on record.)*
---
### Project Specifications &amp; Details
- **Area:** KLCC (Jalan Sultan Ismail, Kuala Lumpur) [KB:JbBcn2BNu1XQPlmfEzYr]
- **Developer:** KL Metro Group [KB:JbBcn2BNu1XQPlmfEzYr]
- **Land Title:** Commercial (Non-HDA) [KB:JbBcn2BNu1XQPlmfEzYr]
- **Maintenance Fee:** RM0.80 psf (includes sinking fund &amp; fire insurance) [KB:JbBcn2BNu1XQPlmfEzYr, KB:m7UYL4cZA0xTzLuWXMnq]
- **Tenure:** Freehold [KB:JbBcn2BNu1XQPlmfEzYr]
- **Total Units:** 371 Sky Pool Suites (518 units total including 147 hotel units) [KB:JbBcn2BNu1XQPlmfEzYr, KB:m7UYL4cZA0xTzLuWXMnq]
- **Total Floors:** 66 storeys [KB:m7UYL4cZA0xTzLuWXMnq, KB:uelnMbxBB9NZC56AoeyZ]
- **Completion / Vacant Possession Date:** Q4 2029 [KB:JbBcn2BNu1XQPlmfEzYr]
- **Furnishing:** Fully furnished with hotel-grade ID finishings (Roca, Duravit, Bosch appliances) [KB:m7UYL4cZA0xTzLuWXMnq]
- **Car Park Allocation:** No personal/dedicated car park for owners (automated basement car park available / provided for hotel guests) [KB:m7UYL4cZA0xTzLuWXMnq, KB:SDjhInEvFAnqZk8nrMEF]
---
### Top Reasons to Buy [KB:SDjhInEvFAnqZk8nrMEF, KB:5iolpluMm8LOSwn2b6yX]
1. **Proven Track Record:** Developed by KL Metro Group, creators of Lexis Hibiscus, Grand Lexis, and Imperial Lexis [KB:SDjhInEvFAnqZk8nrMEF].
2. **Private Pool in Every Unit:** Signature Lexis luxury feature offering unmatched privacy [KB:5iolpluMm8LOSwn2b6yX].
3. **Prime KLCC Location &amp; Connectivity:** Situated on Jalan Sultan Ismail, doorstep to Monorail Bukit Nanas and 500m to LRT Dang Wangi [KB:5iolpluMm8LOSwn2b6yX, KB:uelnMbxBB9NZC56AoeyZ].
4. **Freehold Tenure:** Long-term security in a high-demand central location [KB:5iolpluMm8LOSwn2b6yX].
5. **100% Hassle-Free Management &amp; Attractive Returns:** Managed by Lexis Hospitality Group with 6% GRR for 3 years + 12-year profit sharing (including F&amp;B and ballroom revenue) plus 10 nights free stay/year [KB:5iolpluMm8LOSwn2b6yX, KB:SDjhInEvFAnqZk8nrMEF].
6. **Iconic Views:** Select units face Petronas Twin Towers, KL Tower, and Merdeka 118 [KB:5iolpluMm8LOSwn2b6yX].</t>
        </is>
      </c>
    </row>
    <row r="62" ht="60" customHeight="1">
      <c r="A62" s="36" t="inlineStr">
        <is>
          <t>P55</t>
        </is>
      </c>
      <c r="B62" s="37" t="inlineStr">
        <is>
          <t>SO Sofitel Residences KLCC</t>
        </is>
      </c>
      <c r="C62" s="36" t="n">
        <v>35.8</v>
      </c>
      <c r="D62" s="37" t="inlineStr">
        <is>
          <t>chat-5a990c5f-6de6-4cea-80e6-ee02d26221eb</t>
        </is>
      </c>
      <c r="E62" s="25" t="inlineStr">
        <is>
          <t>### SO Sofitel Residences KLCC — Project Details
#### Overview &amp; Project Facts
- **Area:** KLCC (KLCC Ampang, 250m walk to KLCC &amp; KLCC Park) [KB:KqagZI05xis2InM9IBuA]
- **Developer:** Oxley Holding (Listed &amp; largest landbank developer in Singapore) [KB:KqagZI05xis2InM9IBuA]
- **Tenure:** Freehold [KB:KqagZI05xis2InM9IBuA]
- **Land Title:** Not on record
- **Total Units:** 590 units [KB:KqagZI05xis2InM9IBuA]
- **Total Floors:** Not on record
- **Completion / Vacant Possession Date:** Year 2025 [KB:KqagZI05xis2InM9IBuA]
- **Maintenance Fee:** RM1.00 psf (includes Concierge, Valet, Bell, and Towel &amp; Water service at Pool &amp; Gym) [KB:gNiIgucxQt2WLlguJ685]
- **Furnishing:** Fully furnished by Pavilion with high-end hotel specifications [KB:3DZ6328rBRxO4h75FtQn]
- **Car Park Allocation:** Not on record
#### Layout Details &amp; Pricing
| Type | Size | Bedrooms | Nett Price | Gross Price | Status |
|---|---|---|---|---|---|
| Type A1 | 578 sqft | Studio | RM1,243,856 – RM1,784,150 | RM1,554,820 – RM2,099,000 | Available |
| Type A2 | 566 sqft | Studio | RM1,212,640 – RM1,778,200 | RM1,515,800 – RM2,092,000 | Available |
| Type B1A | 681 sqft | 1 Bedroom | RM1,525,440 | RM1,906,800 | Available |
| Type B2B | 793 sqft | 1 Bedroom | RM2,350,040 | RM2,398,000 | Available |
| Type B2C | 753 sqft | 1 Bedroom | RM2,267,720 | RM2,314,000 | Available |
| Type C1 | 711 sqft | 1+1 Bedroom | RM1,674,400 – RM2,124,150 | RM2,093,000 – RM2,499,000 | Available |
| Type C2A | 815 sqft | 1+1 Bedroom | RM2,090,150 – RM2,323,900 | RM2,459,000 – RM2,734,000 | Available |
| Type C3A | 800 sqft | 1+1 Bedroom | RM2,123,660 | RM2,167,000 | Available |
| Type D1 | 903 sqft | 2 Bedrooms | RM2,922,360 – RM3,073,280 | RM2,982,000 – RM3,136,000 | Available |
| Type D3 | 956 sqft | 2 Bedrooms | RM2,557,115 – RM2,988,020 | RM2,691,700 – RM3,049,000 | Available |
| Type D4A | 995 sqft | 2 Bedrooms | RM1,719,000 – RM1,852,500 | RM2,292,000 – RM2,470,000 | Available |
| Type D8B | 898 sqft | 2 Bedrooms | RM2,415,000 | RM3,018,750 | Available |
| Type D8C | 904 sqft | 2 Bedrooms | RM2,439,840 | RM3,049,800 | Available |
| Type D8D | 852 sqft | 2 Bedrooms | RM2,334,960 | RM2,918,700 | Available |
| Type D9A | 797 sqft | 2 Bedrooms | RM1,934,400 | RM2,418,000 | Available |
#### Top Reasons to Buy
1. **Rare Branded Hotel Residence:** One of only 5 hotel branded residences in Malaysia, managed by the world-renowned AccorHotels Group [KB:IMDAerJJCdHY7cra64Jg].
2. **Prime Location:** Located just 250m from the PETRONAS Twin Towers and adjacent to the 50-acre KLCC Park [KB:IMDAerJJCdHY7cra64Jg].
3. **Unbeatable Connectivity:** Within walking distance to 2 LRT and 2 MRT stations [KB:3DZ6328rBRxO4h75FtQn].
4. **Highest Rooftop Pool:** Features Southeast Asia's highest rooftop pool on Level 77 [KB:IMDAerJJCdHY7cra64Jg].
5. **Attractive Value:** Offers the lowest entry PSF among branded residences in KL (from ~RM1,900 psf) [KB:3DZ6328rBRxO4h75FtQn].</t>
        </is>
      </c>
    </row>
    <row r="63" ht="60" customHeight="1">
      <c r="A63" s="36" t="inlineStr">
        <is>
          <t>P56</t>
        </is>
      </c>
      <c r="B63" s="37" t="inlineStr">
        <is>
          <t>Le Nouvel KLCC</t>
        </is>
      </c>
      <c r="C63" s="36" t="n">
        <v>39.9</v>
      </c>
      <c r="D63" s="37" t="inlineStr">
        <is>
          <t>chat-26569c98-a120-4a89-aaef-609ddffa77b8</t>
        </is>
      </c>
      <c r="E63" s="25" t="inlineStr">
        <is>
          <t>### Le Nouvel KLCC — Project Details
**1. General Details**
- **Area:** KLCC (152, Jalan Ampang, 50450 Kuala Lumpur) [KB:fC4XTilPWrOTBNnwJ5Af], [KB:2bq9qy58uezozhTkxWOA]
- **Developer:** Hartamaju Sdn Bhd (a subsidiary of Wing Tai Malaysia Sdn Bhd) [KB:fC4XTilPWrOTBNnwJ5Af]
- **Land Title:** Service Apartment as stated in Strata Title [KB:fC4XTilPWrOTBNnwJ5Af], [KB:2bq9qy58uezozhTkxWOA]
- **Tenure:** Freehold [KB:fC4XTilPWrOTBNnwJ5Af], [KB:2bq9qy58uezozhTkxWOA]
- **Total Units:** 195 units (Tower 1: 78 units, Tower 2: 117 units) [KB:fC4XTilPWrOTBNnwJ5Af], [KB:2bq9qy58uezozhTkxWOA]
- **Total Floors:** Tower 1 — 47 storeys; Tower 2 — 41 storeys [KB:fC4XTilPWrOTBNnwJ5Af]
- **Completion / Vacant Possession Date:** 2017 [KB:fC4XTilPWrOTBNnwJ5Af], [KB:2bq9qy58uezozhTkxWOA]
- **Maintenance Fee:** RM8.45 per share unit (~RM0.82 psf), excluding 10% sinking fund [KB:9lu8rU26wahAXQD2pl4h]
- **Car Park Allocation:** 2 car bays for standard unit types; 4 car bays for 5-Bedroom units and Penthouses [KB:fC4XTilPWrOTBNnwJ5Af]
- **Furnishing:** Fully Furnished (FF) and Partially Furnished (PF) units available [KB:9lu8rU26wahAXQD2pl4h], [KB:w5DEBg7mJzgIyLOcpk7C]
**2. Layouts &amp; Pricing**
*Note: A structured per-layout table (`unitTypes`) is not on record. Separate gross price vs. nett price breakdowns are **not on record** (only listed selling prices are on record).*
**General Layout Summary:**
- **2 Bedrooms:** 1,722 – 1,905 sqft (Tower 2) [KB:fC4XTilPWrOTBNnwJ5Af]
- **3 Bedrooms:** 2,110 sqft (Tower 2) [KB:fC4XTilPWrOTBNnwJ5Af]
- **Tower 1 Units (2BR, 3BR, 4BR, 5BR Simplex):** Note: Only selected units in Tower 2 are currently for sale [KB:fC4XTilPWrOTBNnwJ5Af].
**Unit Price Listing:**
*Fully Furnished (FF):*
- Unit 2-15-1 | 1,819 sqft (2BR) | RM5,300,000 | KLCC View [KB:w5DEBg7mJzgIyLOcpk7C]
- Unit 2-15-3A | 1,905 sqft (2BR) | RM5,500,000 | **SOLD OUT** [KB:w5DEBg7mJzgIyLOcpk7C]
- Unit 2-23A-1 | 1,819 sqft (2BR) | RM5,300,000 | Tower 1 / Star Residence View [KB:w5DEBg7mJzgIyLOcpk7C]
- Unit 2-23A-3 | 1,722 sqft (2BR) | RM5,100,000 | Tower 1 / Star Residence View [KB:w5DEBg7mJzgIyLOcpk7C]
- Unit 2-25-1 | 1,819 sqft (2BR) | RM5,600,000 | **SOLD OUT** [KB:w5DEBg7mJzgIyLOcpk7C]
- Unit 2-25-2 | 2,110 sqft (3BR) | RM6,200,000 | KLCC View [KB:w5DEBg7mJzgIyLOcpk7C]
- Unit 2-25-3A | 1,905 sqft (2BR) | RM5,600,000 | KLCC View [KB:w5DEBg7mJzgIyLOcpk7C]
- Unit 2-27-3 | 1,722 sqft (2BR) | RM5,100,000 | Resident View [KB:w5DEBg7mJzgIyLOcpk7C]
- Unit 2-27-3A | 1,905 sqft (2BR) | RM5,700,000 | 4 Seasons View [KB:w5DEBg7mJzgIyLOcpk7C]
*Partly Furnished (PF):*
- Unit 2-39-1 | 1,819 sqft (2BR) | RM5,700,000 [KB:w5DEBg7mJzgIyLOcpk7C]
- Unit 2-39-3 | 1,722 sqft (2BR) | RM5,500,000 [KB:w5DEBg7mJzgIyLOcpk7C]
- Unit 2-39-3A | 1,905 sqft (2BR) | RM5,900,000 [KB:w5DEBg7mJzgIyLOcpk7C]
**Nett price vs. Gross price breakdown:** Not on record.
**3. Top Reasons to Buy**
1. **Prime Iconic Location:** Directly opposite Petronas Twin Towers and Suria KLCC along prestigious Jalan Ampang [KB:fC4XTilPWrOTBNnwJ5Af].
2. **Architectural Masterpiece:** Designed by Pritzker Prize winner Jean Nouvel, with lighting design by Hervé Descottes, landscape architecture by Patrick Blanc, and interior design by Atelier Ikebuchi [KB:fC4XTilPWrOTBNnwJ5Af], [KB:9lu8rU26wahAXQD2pl4h].
3. **Ultra-Low Density &amp; High-End Sky Facilities:** Exclusive 195 units featuring Level 33A Sky Dining, Sky Lounge, Wine &amp; Cigar Lounge, alongside Level 7 wellness facilities [KB:fC4XTilPWrOTBNnwJ5Af], [KB:9lu8rU26wahAXQD2pl4h].</t>
        </is>
      </c>
    </row>
    <row r="64" ht="60" customHeight="1">
      <c r="A64" s="36" t="inlineStr">
        <is>
          <t>P57</t>
        </is>
      </c>
      <c r="B64" s="37" t="inlineStr">
        <is>
          <t>Star Residences KLCC</t>
        </is>
      </c>
      <c r="C64" s="36" t="n">
        <v>28.9</v>
      </c>
      <c r="D64" s="37" t="inlineStr">
        <is>
          <t>chat-b140ac77-c791-4fe3-9b04-ee6542ce5112</t>
        </is>
      </c>
      <c r="E64" s="25" t="inlineStr">
        <is>
          <t>Here are the details on record for **Star Residences KLCC** (Project ID: `Vy42PE5qZxJzLIBe2fvW`):
### Project Overview
* **Area / Location:** Opposite KLCC, Jalan Yap Kwan Seng, KLCC district, Kuala Lumpur [KB:cShueljDqIU2kCdodr05]
* **Developer:** UM Land Bhd &amp; Symphony Life Bhd [KB:cShueljDqIU2kCdodr05]
* **Land Title:** Commercial under HDA [KB:cShueljDqIU2kCdodr05]
* **Tenure:** Freehold [KB:cShueljDqIU2kCdodr05]
* **Maintenance Fee:** RM 0.55 psf (including sinking fund) [KB:cShueljDqIU2kCdodr05]
* **Total Units:** 
  * Tower 1: 575 units [KB:cShueljDqIU2kCdodr05]
  * Tower 2: 482 units [KB:cShueljDqIU2kCdodr05]
  * Tower 3: Ascott Hotel &amp; Residences [KB:oaiP8hIUnvHwkXTpb5Om]
* **Total Floors:** Tower 1 (56 storeys), Tower 2 (57 storeys) [KB:cShueljDqIU2kCdodr05]
* **Completion / VP Date:** Completed in 2019/2020 [KB:cShueljDqIU2kCdodr05]
### Layouts &amp; Pricing
* **Per-Layout Table (unitTypes):** **Not on record** (the project record carries a price range of RM 587 – RM 2,400 psf with no explicit per-layout total price table on record).
* **Unit Sizes Range:** 625 sq. ft. to 2,972 sq. ft. [KB:cShueljDqIU2kCdodr05]
* **Main Unit Sizes:** 625 sf, 711 sf, 948 sf, 1,399 sf [KB:oaiP8hIUnvHwkXTpb5Om] (Sample floor plan types include Type A1 1-bed at 700 sf, Type A2 1-bed at 722 sf, Type B1 1+1-bed at 775 sf [KB:jSlmQWzLlBxeYUyjbswH]).
* **Nett Price &amp; Gross Price per layout:** **Not on record**
* **Sold-Out Status per layout:** **Not on record** (agents can check live availability via the developer balance stock portal or with D2 sales admin)
### Furnishing &amp; Car Park Allocation
* **Furnishing:** Partially furnished with air conditioning, complete kitchen (Bosch oven, hood &amp; hob, Samsung fridge, 2-in-1 washer dryer), bedroom wardrobes, stone top kitchen &amp; island, and full bathroom sanitary wares (Villeroy &amp; Boch / Gessi) [KB:cShueljDqIU2kCdodr05, KB:oaiP8hIUnvHwkXTpb5Om].
* **Car Park Allocation:** 
  * Tower 1: No carpark allocated [KB:oaiP8hIUnvHwkXTpb5Om]
  * Tower 2: 1 carpark for 948 sq. ft. units; 1+1 tandem carparks for 1,399 sq. ft. units [KB:oaiP8hIUnvHwkXTpb5Om]
### Top 5 Reasons to Buy [KB:cShueljDqIU2kCdodr05]
1. 100,000 sq. ft. of lifestyle hotel facilities, including a rooftop Jacuzzi with KLCC view.
2. Walking distance to shopping and business district (KLCC and Avenue K).
3. Quality finishing interior with celebrity-themed corridors and multiple art &amp; statue decorations.
4. Easy to rent to professional office tenants within 500m.
5. Best value for money in KLCC for location, facilities, and finishing quality.</t>
        </is>
      </c>
    </row>
    <row r="65" ht="60" customHeight="1">
      <c r="A65" s="36" t="inlineStr">
        <is>
          <t>P58</t>
        </is>
      </c>
      <c r="B65" s="37" t="inlineStr">
        <is>
          <t>Jewel by Oxley KLCC</t>
        </is>
      </c>
      <c r="C65" s="36" t="n">
        <v>43.9</v>
      </c>
      <c r="D65" s="37" t="inlineStr">
        <is>
          <t>chat-8aeef4ea-4340-43be-bf04-22ff309ae84e</t>
        </is>
      </c>
      <c r="E65" s="25" t="inlineStr">
        <is>
          <t>### Project Details: Jewel by Oxley KLCC (Project ID: `8hQluB9sj4dNRiEpF6tF`)
#### Layout Details
- **Type A1**: 678 sq ft | 1 Bedroom | Nett: RM1,634,840 – RM1,676,240 | Gross: RM2,043,550 – RM2,095,300 | Status: Available [KB:EbeHdPE2yRGbDGX49R1J]
- **Type B1**: 678 sq ft | 1 Bedroom | Nett: RM1,644,960 – RM1,693,720 | Gross: RM2,056,200 – RM2,117,150 | Status: Available [KB:EbeHdPE2yRGbDGX49R1J]
- **Type B2**: 775 sq ft | 1+1 Bedroom | Nett: RM1,601,663 – RM1,936,600 | Gross: RM2,135,550 – RM2,420,750 | Status: Available [KB:EbeHdPE2yRGbDGX49R1J]
- **Type B3**: 754 sq ft | 1 Bedroom | Nett: RM1,851,960 – RM1,892,440 | Gross: RM2,314,950 – RM2,365,550 | Status: Available [KB:EbeHdPE2yRGbDGX49R1J]
- **Type B4**: 818 sq ft | 1+1 Bedroom | Nett: RM1,701,713 – RM2,062,640 | Gross: RM2,268,950 – RM2,578,300 | Status: Available [KB:EbeHdPE2yRGbDGX49R1J]
- **Type B5**: 1,033 sq ft | 1+1 Bedroom | Nett: RM2,091,563 – RM2,469,280 | Gross: RM2,788,750 – RM3,086,600 | Status: Available [KB:EbeHdPE2yRGbDGX49R1J]
- **Type C1**: 958 sq ft | 1+1 Bedroom | Nett: RM1,943,213 – RM2,311,040 | Gross: RM2,590,950 – RM2,888,800 | Status: Available [KB:EbeHdPE2yRGbDGX49R1J]
- **Type D1**: 1,277 sq ft | 2 Bedrooms | Nett: RM2,564,213 – RM2,996,440 | Gross: RM3,418,950 – RM3,745,550 | Status: Available [KB:EbeHdPE2yRGbDGX49R1J]
- **Type D2**: 1,173 sq ft | 2+1 Bedroom | Nett: RM2,396,888 – RM2,808,760 | Gross: RM3,195,850 – RM3,510,950 | Status: Available
#### Key Information
- **Area**: KLCC, Kuala Lumpur [KB:gG2Iv0i2pBdBkvbhLoUg]
- **Developer**: Not on record
- **Land Title**: Not on record
- **Maintenance Fee**: RM0.70 psf (inclusive of sinking fund) [KB:gG2Iv0i2pBdBkvbhLoUg]
- **Tenure**: Freehold [KB:gG2Iv0i2pBdBkvbhLoUg]
- **Total Units**: 267 serviced residence units [KB:mHUE9dIlm1Yy1p3P8TeY]
- **Total Floors**: 49 storeys (Tower 2) / 127 storeys overall complex [KB:gG2Iv0i2pBdBkvbhLoUg]
- **Completion / Vacant Possession Date**: Not on record
- **Furnishing**: Fully furnished
- **Car Park Allocation**: Not on record
#### Top Reasons to Buy
1. **Prime Location**: Positioned right next to the Petronas Twin Towers and 50-acre KLCC Park [KB:mHUE9dIlm1Yy1p3P8TeY].
2. **Rare Freehold Asset**: One of the final freehold residential properties within the KLCC postcode [KB:mHUE9dIlm1Yy1p3P8TeY].
3. **Low Density &amp; Exclusive**: Offers high privacy with only 267 total units [KB:mHUE9dIlm1Yy1p3P8TeY].
4. **Award-Winning Design**: Certified GreenMark status building designed by an award-winning architect [KB:cOy7bahKEaQOOB1Tpabz].</t>
        </is>
      </c>
    </row>
    <row r="66" ht="60" customHeight="1">
      <c r="A66" s="36" t="inlineStr">
        <is>
          <t>P59</t>
        </is>
      </c>
      <c r="B66" s="37" t="inlineStr">
        <is>
          <t>Golden Crown Residence</t>
        </is>
      </c>
      <c r="C66" s="36" t="n">
        <v>28.5</v>
      </c>
      <c r="D66" s="37" t="inlineStr">
        <is>
          <t>chat-46d0a221-668d-4573-b25a-ab2a5cee9a1c</t>
        </is>
      </c>
      <c r="E66" s="25" t="inlineStr">
        <is>
          <t>Here are the details for **Golden Crown Residence (Project ID: VvxOkdBbwLdPU2nJwuHJ)**:
### **Layout Details**
- **Type A1**: 624 sqft | 1 Bedroom, 1 Bathroom | Gross Price: From RM1,280,000 [KB:67BFRL3jy93mvwYXRd1o] | Nett Price: Not on record (display of net price/rebate is strictly prohibited per developer guidelines) [KB:I1AWH6hb8uG6yjHSQBEq]
- **Type A2**: 732 sqft (with Balcony) | 1 Bedroom, 1 Bathroom | Gross Price: From RM1,586,000 [KB:67BFRL3jy93mvwYXRd1o] | Nett Price: Not on record
- **Type B1 / B2**: 926 sqft | 2+1 Bedrooms, 2 Bathrooms | Gross Price: From RM1,973,000 [KB:67BFRL3jy93mvwYXRd1o] | Nett Price: Not on record
- **Type B3**: 958 sqft | 2+1 Bedrooms, 2 Bathrooms | Gross Price: From RM2,066,000 [KB:67BFRL3jy93mvwYXRd1o] | Nett Price: Not on record
- **Type C (Dual Key)**: 1,023 sqft | 2+1 Bedrooms, 2 Bathrooms | Gross Price: From RM2,179,000 [KB:67BFRL3jy93mvwYXRd1o] | Nett Price: Not on record
- **Type D**: 1,238 sqft | 3 Bedrooms, 2 Bathrooms | **Sold Out** [KB:67BFRL3jy93mvwYXRd1o] | Gross / Nett Price: Not on record
---
### **Project Specifications**
- **Area**: Jalan Tun Razak, approximately 50m in front of TRX Mall / 30m from MRT TRX Interchange (KLCC/Bukit Bintang area)
- **Developer**: Multibay Development Sdn Bhd (a subsidiary of Golden Eagle Group) [KB:I1AWH6hb8uG6yjHSQBEq]
- **Land Title**: Commercial Title under HDA (Serviced Residence); Master Title H.S(D) 12160, PT50001, Sek 67 [KB:HuF31VZZiKKeEV7f23Pb]
- **Maintenance Fee**: Approx. RM0.80 psf (including sinking fund) [KB:I1AWH6hb8uG6yjHSQBEq]
- **Tenure**: Leasehold (Feb 2111) [KB:I1AWH6hb8uG6yjHSQBEq]
- **Total Units**: 490 units [KB:I1AWH6hb8uG6yjHSQBEq]
- **Total Floors**: 60 Storeys [KB:I1AWH6hb8uG6yjHSQBEq]
- **Targeted Completion / Vacant Possession Date**: August 2026 / Dec 2026 (Q3–Q4 2026) [KB:I1AWH6hb8uG6yjHSQBEq], [KB:67BFRL3jy93mvwYXRd1o]
- **Top Reasons to Buy**: Not on record
- **Furnishing**: Partly furnished / fully fitted with kitchen cabinet, hob &amp; hood, fridge, microwave oven, 2-in-1 washer &amp; dryer, wardrobes in room(s), storage water heater, shower screen, vanity cabinet &amp; mirror, digital lockset, and air-conditioning in living &amp; rooms [KB:HuF31VZZiKKeEV7f23Pb], [KB:67BFRL3jy93mvwYXRd1o]
- **Car Park Allocation**: 1 unit = 1 car park, **EXCEPT** 30 units of Type A1 (624 sf, Levels 13 to 22) which have **no car park** [KB:I1AWH6hb8uG6yjHSQBEq], [KB:HuF31VZZiKKeEV7f23Pb]</t>
        </is>
      </c>
    </row>
    <row r="67" ht="60" customHeight="1">
      <c r="A67" s="36" t="inlineStr">
        <is>
          <t>P60</t>
        </is>
      </c>
      <c r="B67" s="37" t="inlineStr">
        <is>
          <t>SWNK Houze @ BBCC (Bukit Bintang City Centre)</t>
        </is>
      </c>
      <c r="C67" s="36" t="n">
        <v>32.3</v>
      </c>
      <c r="D67" s="37" t="inlineStr">
        <is>
          <t>chat-89bdaa09-693a-4360-abcc-3ce93e844b01</t>
        </is>
      </c>
      <c r="E67" s="25" t="inlineStr">
        <is>
          <t>Here are the details for **SWNK Houze @ BBCC (Bukit Bintang City Centre)** [Project ID: LOFXx95YiYK0Buf0s0Lh]:
### Layouts &amp; Pricing
*Base price starts from RM1,300 psf. Specific gross/nett total prices per layout and individual layout sold-out statuses are not on record.*
* **Studio**: 463 sq. ft. | 0 Bedrooms | Gross Price: Not on record | Nett Price: Not on record
* **1 Bedroom**: 549 sq. ft. | 1 Bedroom | Gross Price: Not on record | Nett Price: Not on record [KB:Iz0OWBM4GqZuGgcBOUlU]
* **1+1 Bedroom**: 657 sq. ft. | 1+1 Bedrooms | Gross Price: Not on record | Nett Price: Not on record [KB:Iz0OWBM4GqZuGgcBOUlU]
* **Studio Loft**: 667 sq. ft. | 0 Bedrooms | Gross Price: Not on record | Nett Price: Not on record
* **2 Bedrooms**: 818 sq. ft. | 2 Bedrooms | Gross Price: Not on record | Nett Price: Not on record [KB:Iz0OWBM4GqZuGgcBOUlU]
* **Dual Key (2 Bedrooms)**: 861 sq. ft. | 2 Bedrooms | Gross Price: Not on record | Nett Price: Not on record [KB:Iz0OWBM4GqZuGgcBOUlU]
* **Dual Key (3 Bedrooms - Type H)**: 1,227 sq. ft. (includes 409 sq. ft. terrace) | 3 Bedrooms | Gross Price: Not on record | Nett Price: Not on record
* **Dual Key (3 Bedrooms - Type F)**: 1,238 sq. ft. (includes 301 sq. ft. terrace) | 3 Bedrooms | Gross Price: Not on record | Nett Price: Not on record
### Project Specifications
* **Area**: Bukit Bintang City Centre (BBCC), Jalan Hang Tuah, Kuala Lumpur (1.56-acre site within 19.4-acre BBCC development) [KB:Iz0OWBM4GqZuGgcBOUlU]
* **Developer**: BBCC Development Sdn Bhd (Joint Venture between EcoWorld, EPF, and UDA Holdings) [KB:AD8xLLNrQLmRBC2cDBjb]
* **Land Title**: Commercial under HDA [KB:Iz0OWBM4GqZuGgcBOUlU]
* **Maintenance Fee**: RM0.66 psf (includes sinking fund) [KB:Iz0OWBM4GqZuGgcBOUlU]
* **Tenure**: Leasehold (expiring 05.12.2110) [KB:Iz0OWBM4GqZuGgcBOUlU]
* **Total Units**: 441 units [KB:Iz0OWBM4GqZuGgcBOUlU]
* **Total Floors**: 30 storeys
* **Completion / VP Date**: Target Q3 2026 [KB:Iz0OWBM4GqZuGgcBOUlU]
### Key Features &amp; Furnishing
* **Top Reasons to Buy**: Direct seamless access to BBCC Transit Hub (Hang Tuah Monorail, Hang Tuah LRT, Merdeka MRT), direct link to LaLaport Mall &amp; 400m Gourmet Street, and prime positioning within a transit-oriented master development [KB:Iz0OWBM4GqZuGgcBOUlU].
* **Furnishing**: Upgraded furnishing package includes plaster ceiling with downlights, kitchen cabinet with hob &amp; hood, fridge, washer/dryer, built-in water heater system, shower screen &amp; door, digital lockset, master bedroom wardrobe, air-conditioning units, and bathroom vanity top [KB:Iz0OWBM4GqZuGgcBOUlU].
* **Car Park Allocation**: Building totals 249 accessory parcel car parks, 94 floating car parks, 22 visitor car parks, and 2 OKU car parks (B4 to GF). Individual unit entitlement breakdown is not on record.</t>
        </is>
      </c>
    </row>
    <row r="68" ht="60" customHeight="1">
      <c r="A68" s="36" t="inlineStr">
        <is>
          <t>P61</t>
        </is>
      </c>
      <c r="B68" s="37" t="inlineStr">
        <is>
          <t>Times Square 2 Residences Kuala Lumpur</t>
        </is>
      </c>
      <c r="C68" s="36" t="n">
        <v>50.8</v>
      </c>
      <c r="D68" s="37" t="inlineStr">
        <is>
          <t>chat-629dfe71-3993-4843-8e07-c4250980a981</t>
        </is>
      </c>
      <c r="E68" s="25" t="inlineStr">
        <is>
          <t>### Times Square 2 Residences Kuala Lumpur
#### Project Overview
- **Area / Location:** Bukit Bintang, Kuala Lumpur [KB:JVcM6xWLFndLrIAbZspi]
- **Developer:** Berjaya Group / Berjaya Properties [KB:JVcM6xWLFndLrIAbZspi, KB:YBf2XsCtI8e668lpXmvm]
- **Land Title:** Commercial (under HDA) [KB:JVcM6xWLFndLrIAbZspi]
- **Tenure:** Freehold [KB:JVcM6xWLFndLrIAbZspi]
- **Total Units:** 629 units [KB:JVcM6xWLFndLrIAbZspi]
- **Total Floors:** 41 storeys (1 Tower) [KB:JVcM6xWLFndLrIAbZspi]
- **Maintenance Fee:** RM 0.73 psf (inclusive of sinking fund) [KB:JVcM6xWLFndLrIAbZspi]
- **Completion / Vacant Possession Date:** 2028 Q1 [KB:JVcM6xWLFndLrIAbZspi]
- **Car Park Allocation:** All units are sold without allocated car park (Total 300+ season car parks available at RM300/month) [KB:JVcM6xWLFndLrIAbZspi, KB:YBf2XsCtI8e668lpXmvm]
#### Layout Details
- **Type A (488 sqft | 1 Bedroom, 1 Bathroom)** [KB:JVcM6xWLFndLrIAbZspi]
  - **Nett Price:** From RM568,090 (Bumi) / RM607,290 (Non-Bumi) [KB:Y0an5S3XK8p0gPprKwfi]
  - **Gross Price:** Not on record
  - **Status:** Availability status not on record
- **Type B (678 sqft | 2 Bedrooms, 2 Bathrooms)** [KB:JVcM6xWLFndLrIAbZspi]
  - **Nett Price:** From RM844,626 (Bumi) / RM889,080 (Non-Bumi) [KB:Y0an5S3XK8p0gPprKwfi]
  - **Gross Price:** RM1,004,000 (Sample Unit 08-07 SPA Price) [KB:VeCI6EebJiWrG1y2aHJr]; general tier gross range not on record
  - **Status:** Availability status not on record
- **Type C (888 sqft | 2 Bedrooms Dual-Key, 2+1 Bathrooms)** [KB:JVcM6xWLFndLrIAbZspi]
  - **Nett Price:** From RM1,164,153 (Bumi) / RM1,214,580 (Non-Bumi) [KB:Y0an5S3XK8p0gPprKwfi]
  - **Gross Price:** Not on record
  - **Status:** Availability status not on record
- **Type D (1,038 sqft | 3 Bedrooms, 3 Bathrooms)** [KB:JVcM6xWLFndLrIAbZspi]
  - **Nett Price:** From RM1,518,736 (Bumi) / RM1,598,670 (Non-Bumi) [KB:Y0an5S3XK8p0gPprKwfi]
  - **Gross Price:** RM1,719,000 (Sample Unit 08-08 SPA Price) [KB:VeCI6EebJiWrG1y2aHJr]; general tier gross range not on record
  - **Status:** Availability status not on record
#### Furnishing Included (Partial Furnished) [KB:YBf2XsCtI8e668lpXmvm, KB:Y0an5S3XK8p0gPprKwfi]
1. Digital Lock
2. Built-in Shoe Rack Cabinet
3. Kitchen Cabinet (Full Set)
4. Hood &amp; Hob
5. Oven
6. Fridge
7. Washer Dryer
8. Air conditioners (2–4 units)
9. Individual Water Heater Storage
10. Fully-fitted Bathroom Set
#### Top Reasons to Buy [KB:JVcM6xWLFndLrIAbZspi, KB:YBf2XsCtI8e668lpXmvm, KB:Y0an5S3XK8p0gPprKwfi]
1. Built by prominent listed developer **Berjaya Properties** (parent company of Starbucks, 7-Eleven, Ritz-Carlton Residences, Paris Baguette).
2. Rare **Freehold** tenure in Bukit Bintang zone.
3. Directly linked to Monorail, Berjaya Times Square, and LaLaport Mall / BBCC.
4. Airbnb-friendly &amp; Pet-friendly serviced residence.
5. Ground-floor Starbucks Drive-Through component.
6. Level 41 Sky Pool &amp; Sky Lounge facilities.</t>
        </is>
      </c>
    </row>
    <row r="69" ht="60" customHeight="1">
      <c r="A69" s="36" t="inlineStr">
        <is>
          <t>P62</t>
        </is>
      </c>
      <c r="B69" s="37" t="inlineStr">
        <is>
          <t>The Manor KLCC</t>
        </is>
      </c>
      <c r="C69" s="36" t="n">
        <v>35.3</v>
      </c>
      <c r="D69" s="37" t="inlineStr">
        <is>
          <t>chat-0eb38db7-dd09-4c9f-aab5-15ee6dc7d514</t>
        </is>
      </c>
      <c r="E69" s="25" t="inlineStr">
        <is>
          <t>### **The Manor KLCC — Project Details**
* **Project ID:** `incefTUSycrB4BWTssgn`
---
#### **1. Layout Details (Size, Bedrooms, Nett &amp; Gross Price)**
* **Per-layout structured table:** **Not on record** (the per-layout table array in D2 records is empty).
* **Recorded Unit Sizes &amp; Availability:**
  * **2,618 sq.ft. (KLCC facing):** Developer units are **sold out** (subsale available around RM1,500 psf) [KB:chl40uHd3DNhzSOxOhYI].
  * **2,341 sq.ft. (Suite C):** Developer unit available [KB:dtZzQXZWZRojLLNRtS3j], [KB:chl40uHd3DNhzSOxOhYI].
  * **1,323 sq.ft. (Unit 31-2):** 2 Bedrooms, 2 Bathrooms [KB:xEEjLcfYuwinVSoozm7k].
  * **1,322 sq.ft. (Unit 27-13):** Recorded in system [KB:xEEjLcfYuwinVSoozm7k].
  * **1,926 sq.ft. (Type B2):** Recorded in system [KB:dtZzQXZWZRojLLNRtS3j].
  * **1,139 sq.ft.:** Recorded in system [KB:dtZzQXZWZRojLLNRtS3j].
* **Nett / Gross Pricing:** Nett pricing is approximately **RM1,500 – RM1,600 psf** [KB:xEEjLcfYuwinVSoozm7k]. Per-unit gross list price breakdowns are **not on record**.
---
#### **2. Property Specifications**
* **Area:** Persiaran Stonor, KLCC, Kuala Lumpur [KB:oZZ1loSw39twdeHZlaJu]
* **Developer:** Desaria Property Sdn Bhd [KB:oZZ1loSw39twdeHZlaJu]
* **Land Title:** Freehold land title [KB:oZZ1loSw39twdeHZlaJu] *(specific commercial/residential HDA title status is **not on record**)*
* **Tenure:** Freehold [KB:oZZ1loSw39twdeHZlaJu]
* **Total Units:** 484 units [KB:oZZ1loSw39twdeHZlaJu], [KB:chl40uHd3DNhzSOxOhYI]
* **Total Floors:** 49 storeys (1 block, 3 lobbies) [KB:oZZ1loSw39twdeHZlaJu], [KB:etFBDODCL08HPlvqECiq]
* **Maintenance Fee:** RM0.50 psf [KB:etFBDODCL08HPlvqECiq]
* **Completion / Vacant Possession Date:** Project is completed and handover in progress [KB:xEEjLcfYuwinVSoozm7k], [KB:etFBDODCL08HPlvqECiq] *(exact completion month/year is **not on record**)*
* **Furnishing:** Comes equipped with double-glazed windows, VRV fully ducted air conditioning, Ariston kitchenware (Italy), Duravit sanitaryware, marble flooring in living areas, and solid timber flooring in bedrooms [KB:xEEjLcfYuwinVSoozm7k], [KB:etFBDODCL08HPlvqECiq] *(full furnishing package list is **not on record**)*
* **Car Park Allocation:** **Not on record** *(Carparks located on Levels 1–8 with visitor registration [KB:etFBDODCL08HPlvqECiq]; specific per-layout allocation is **not on record**)*
---
#### **3. Top Reasons to Buy** [KB:xEEjLcfYuwinVSoozm7k]
1. **Value Price Rate:** RM1,500–RM1,600 psf nett for a brand-new completed property in KLCC.
2. **Unblocked Views:** Choices of units with KLCC skyline view or Royal Selangor Golf Course view.
3. **High Ceilings:** 11 ft / 3.8m floor height compared to standard 10 ft in neighboring KLCC developments.
4. **Premium Finishing:** Double-glazed windows, Ariston kitchenware, Duravit sanitaryware, VRV ducted air conditioning, and marble/solid timber floors.
5. **Transit &amp; Park Distance:** 350m walk to MRT Conlay station (1 stop to TRX Financial District &amp; Exchange Mall) and 550m walk to the 50-acre KLCC Park.</t>
        </is>
      </c>
    </row>
    <row r="70" ht="60" customHeight="1">
      <c r="A70" s="36" t="inlineStr">
        <is>
          <t>P63</t>
        </is>
      </c>
      <c r="B70" s="37" t="inlineStr">
        <is>
          <t>TRX Residences</t>
        </is>
      </c>
      <c r="C70" s="36" t="n">
        <v>44.9</v>
      </c>
      <c r="D70" s="37" t="inlineStr">
        <is>
          <t>chat-af73daba-bdb4-4026-8d40-21aca74ab695</t>
        </is>
      </c>
      <c r="E70" s="25" t="inlineStr">
        <is>
          <t>### Project Details: TRX Residences
- **Area / Location**: Tun Razak Exchange (TRX), Kuala Lumpur (Postcode: 55188) [KB:USdhBw2TdwgZ7kn7RCLT]
- **Developer**: Lendlease [KB:USdhBw2TdwgZ7kn7RCLT]
- **Land Title**: Commercial HDA for residential use [KB:USdhBw2TdwgZ7kn7RCLT]
- **Tenure**: Freehold [KB:USdhBw2TdwgZ7kn7RCLT]
- **Total Units**: 896 units total [KB:USdhBw2TdwgZ7kn7RCLT]
- **Total Floors**: Tower 1 — 53 storeys (443 units); Tower 2 — 57 storeys (453 units) [KB:USdhBw2TdwgZ7kn7RCLT]
- **Completion / VP Date**: 2024 (VP Completed) [KB:USdhBw2TdwgZ7kn7RCLT]
- **Maintenance Fee**: Estimated RM 0.85 psf [KB:MkmTKbe4PspMKjOk7hsn] (also stated as RM 0.65 psf + 10% sinking fund + 10% district management fee) [KB:gxANy0NCs9Z5B5uliOQQ]
- **Furnishing**: Partially furnished — includes full air conditioning, Snaidero kitchen cabinets, Smeg hood, hob &amp; microwave oven, water heaters, built-in wardrobes, mechanical ventilation, Kohler sanitaryware, double-glazed low-E windows, and smoke alarms (Green building certified) [KB:MkmTKbe4PspMKjOk7hsn]
- **Car Park Allocation** [KB:MkmTKbe4PspMKjOk7hsn]:
  - 1-Bedroom &amp; 2-Bedroom units: 1 car park
  - 3-Bedroom units (&gt;1,345 sqft): 2 side-by-side car parks
- **Top Reasons to Buy**:
  - Private link bridge on Level 8 connecting directly to the 10-acre TRX Park [KB:MkmTKbe4PspMKjOk7hsn]
  - Prime address within TRX, Malaysia's premier international financial district, with direct integration to The Exchange TRX Mall and TRX MRT interchange station [KB:6LMGNuQgO6CQcR52xV2f]
  - Master-planned and built by global developer Lendlease, featuring architecture by DP Architects and Woods Bagot [KB:USdhBw2TdwgZ7kn7RCLT, KB:6LMGNuQgO6CQcR52xV2f]
---
### Layout Breakdown &amp; Pricing
*Note: Complete per-layout gross and nett price lists are **not on record** in the D2 system (overall project starting price on record is RM 1,032,000).* 
**1-Bedroom Layouts:**
- 474 sqft — Nett Price: *Not on record* | Gross Price: *Not on record* [KB:USdhBw2TdwgZ7kn7RCLT]
- 548 sqft — Nett Price: *Not on record* | Gross Price: *Not on record* [KB:USdhBw2TdwgZ7kn7RCLT]
- 624 sqft — Nett Price: *Not on record* | Gross Price: *Not on record* [KB:USdhBw2TdwgZ7kn7RCLT]
- 700 sqft — Nett Price: *Not on record* | Gross Price: *Not on record* (Sample unit A-18-11 SPA/Nett price recorded at RM 1,355,000) [KB:D5vwVHH3JcMVRVoinA4V]
- 721 sqft — Nett Price: *Not on record* | Gross Price: *Not on record* [KB:USdhBw2TdwgZ7kn7RCLT]
**2 / 2+1 Bedroom Layouts:**
- 850 sqft (2-Bedroom / 2+1 Bedroom) — **Sold Out** [KB:gxANy0NCs9Z5B5uliOQQ] | Nett/Gross Price: *Not on record*
- 1,076 sqft (2+1 Bedroom) — Nett Price: *Not on record* | Gross Price: *Not on record* [KB:USdhBw2TdwgZ7kn7RCLT]
**3-Bedroom Layouts:**
- 1,184 sqft — **Sold Out** [KB:gxANy0NCs9Z5B5uliOQQ] | Nett/Gross Price: *Not on record*
- 1,216 sqft — Nett Price: *Not on record* | Gross Price: *Not on record* [KB:USdhBw2TdwgZ7kn7RCLT]
- 1,259 sqft — Nett Price: *Not on record* | Gross Price: *Not on record* [KB:USdhBw2TdwgZ7kn7RCLT]
- 1,345 sqft — Nett Price: *Not on record* | Gross Price: *Not on record* [KB:USdhBw2TdwgZ7kn7RCLT]
- 1,625 sqft — Nett Price: *Not on record* | Gross Price: *Not on record* [KB:USdhBw2TdwgZ7kn7RCLT]
- 1,636 sqft — Nett Price: *Not on record* | Gross Price: *Not on record* [KB:USdhBw2TdwgZ7kn7RCLT]</t>
        </is>
      </c>
    </row>
    <row r="71" ht="60" customHeight="1">
      <c r="A71" s="36" t="inlineStr">
        <is>
          <t>P64</t>
        </is>
      </c>
      <c r="B71" s="37" t="inlineStr">
        <is>
          <t>The Oval Kuala Lumpur</t>
        </is>
      </c>
      <c r="C71" s="36" t="n">
        <v>42.8</v>
      </c>
      <c r="D71" s="37" t="inlineStr">
        <is>
          <t>chat-3be7fd8a-d030-407c-9a0f-601c889134f9</t>
        </is>
      </c>
      <c r="E71" s="25" t="inlineStr">
        <is>
          <t>Here are the full project details for **The Oval Kuala Lumpur** (Project ID: `GVRKC920qO8x7jNeemif`):
### **Layout Details**
*Note: A formal per-layout table is not on record for this project. Below are the details available from the project write-up and knowledge base:* [KB:peLRfTL2CUF0OZ7nuRNt]
- **Sky Villa (Levels 2–32)**
  - **Size:** 3,724 sq. ft. &amp; 3,897 sq. ft. [KB:peLRfTL2CUF0OZ7nuRNt]
  - **Bedrooms:** 3+1 Bedrooms (5 Bathrooms)
  - **Nett Price:** From RM3,734,674 (Example unit list price RM5,363,048 with 18% direct rebate ~ RM4,397,700) [KB:Dct1gr5SwYt0T3gCIMK6]
  - **Gross Price:** RM5,363,048 (List price example) [KB:Dct1gr5SwYt0T3gCIMK6]
  - **Sold Out Status:** Specific unit-by-unit sold out status is not on record; developer balance units remain active.
- **Mansionary Villa (Levels 33–40)**
  - **Size:** 7,793 sq. ft. [KB:peLRfTL2CUF0OZ7nuRNt]
  - **Bedrooms:** Not on record
  - **Nett Price:** Not on record
  - **Gross Price:** Not on record
  - **Sold Out Status:** Not on record
---
### **Project Specifications &amp; Overview**
- **Area / Location:** Jalan Binjai, Diplomatic Enclave, KL City Centre (KLCC)
- **Developer:** Oval Suites Sdn Bhd / Titan Debut Sdn Bhd (Subsidiary of GuocoLand Malaysia Berhad) [KB:peLRfTL2CUF0OZ7nuRNt]
- **Land Title:** Residential / Freehold Commercial title serviced residence [KB:LzMl9WmFYuxyeMT56fEy], [KB:peLRfTL2CUF0OZ7nuRNt]
- **Tenure:** Freehold [KB:peLRfTL2CUF0OZ7nuRNt]
- **Maintenance Fee:** RM0.55 psf (inclusive of sinking fund) [KB:LzMl9WmFYuxyeMT56fEy]
- **Total Units:** 140 units (70 units per tower) [KB:LzMl9WmFYuxyeMT56fEy], [KB:peLRfTL2CUF0OZ7nuRNt]
- **Total Floors:** 41 storeys (2 towers) [KB:LzMl9WmFYuxyeMT56fEy], [KB:peLRfTL2CUF0OZ7nuRNt]
- **Completion / Vacant Possession Date:** Completed in 2009 [KB:LzMl9WmFYuxyeMT56fEy]
- **Car Park Allocation:** 2 car parks per unit (basement) [KB:LzMl9WmFYuxyeMT56fEy]
- **Furnishing:** Not on record
---
### **Top Reasons to Buy** [KB:oT4bAWZzIUNJzmQ9xeCk]
1. **Prime Location:** Situated directly opposite the 50-acre KLCC Park [KB:oT4bAWZzIUNJzmQ9xeCk].
2. **Transit-Oriented:** Directly beside Persiaran KLCC MRT station [KB:oT4bAWZzIUNJzmQ9xeCk].
3. **Ultra Low Density:** Only 140 units across 2.14 acres, with just 2 units per floor [KB:oT4bAWZzIUNJzmQ9xeCk].
4. **Extensive Sizes:** Large floorplates (3,897 sq. ft. and 7,793 sq. ft.) [KB:oT4bAWZzIUNJzmQ9xeCk].
5. **Attractive Value:** Competitive rate per sq. ft. surrounding KLCC Park (~RM900–1,000 psf) [KB:oT4bAWZzIUNJzmQ9xeCk].
6. **Luxury Finishes:** Quality marble and timber flooring with 11 ft ceilings and full-height glass walls [KB:LzMl9WmFYuxyeMT56fEy], [KB:oT4bAWZzIUNJzmQ9xeCk].
7. **Panoramic Views:** 180° open city skyline view with wrap-around balconies [KB:LzMl9WmFYuxyeMT56fEy], [KB:oT4bAWZzIUNJzmQ9xeCk].</t>
        </is>
      </c>
    </row>
    <row r="72" ht="60" customHeight="1">
      <c r="A72" s="36" t="inlineStr">
        <is>
          <t>P65</t>
        </is>
      </c>
      <c r="B72" s="37" t="inlineStr">
        <is>
          <t>The Ritz- Carlton Residences</t>
        </is>
      </c>
      <c r="C72" s="36" t="n">
        <v>37.8</v>
      </c>
      <c r="D72" s="37" t="inlineStr">
        <is>
          <t>chat-2ee1c443-a5c0-4b54-b357-7a820c496524</t>
        </is>
      </c>
      <c r="E72" s="25" t="inlineStr">
        <is>
          <t>Here are the details on record for **The Ritz-Carlton Residences Kuala Lumpur** (Project ID: `gBKQrpT6Gl5MVVateO4O`):
### Project Overview &amp; Specifications
- **Area:** 105, Jalan Ampang / Jalan Sultan Ismail, KLCC Golden Triangle, Kuala Lumpur [KB:l6gKRlxjYZGfS444uL3A]
- **Developer:** Not on record
- **Land Title:** Not on record
- **Tenure:** Freehold [KB:l6gKRlxjYZGfS444uL3A]
- **Total Units:** 288 units [KB:l6gKRlxjYZGfS444uL3A]
- **Total Floors:** Not on record
- **Completion / VP Date:** Completed [KB:l6gKRlxjYZGfS444uL3A]
- **Maintenance Fee:** RM2.00 psf (inclusive of sinking fund) / Estimated RM2.20 psf [KB:PTCOC6OEy2sP1m4GWStb]
- **Furnishing:** Fully ID furnished (semi-furnished option available)
- **Car Park Allocation:** Not on record for standard units (Penthouse Alisha includes 4 car parks; Penthouse Cassandra includes 5 car parks) [KB:MkHt1grfujYGNaY13BkK]
### Per-Layout Pricing &amp; Availability
*Note: A complete per-layout table with individual gross/nett prices and sold-out status per unit is not on record. Standard unit sizes span 1,023 sq. ft. (1-bedroom) to 2,142 sq. ft. (2-bedroom).* 
**Penthouse Layouts (Knowledge Base Record):**
- **Penthouse Alisha:** 2,960 sq. ft. | 4 Bedrooms | 4 Car Parks [KB:MkHt1grfujYGNaY13BkK]
  - Bare Unit: From RM9,755,800 [KB:MkHt1grfujYGNaY13BkK]
  - Fully Furnished: From RM10,809,000 [KB:MkHt1grfujYGNaY13BkK]
- **Penthouse Cassandra:** 4,284 sq. ft. | 4 Bedrooms | 5 Car Parks [KB:MkHt1grfujYGNaY13BkK]
  - Bare Unit: RM13,946,000 [KB:MkHt1grfujYGNaY13BkK]
  - Fully Furnished: RM15,640,000 [KB:MkHt1grfujYGNaY13BkK]
**Sales Package &amp; Discounts on Record:**
- Types A, D, F, G, H: 10% discount [KB:PTCOC6OEy2sP1m4GWStb]
- Types B, C, E, E1, E2: 5%–6% discount [KB:PTCOC6OEy2sP1m4GWStb]
### Top Reasons to Buy
1. **Iconic Golden Triangle Address:** Located on Jalan Sultan Ismail near KLCC Twin Towers and premier shopping malls.
2. **Ritz-Carlton Hospitality:** Dedicated concierge, doorman, valet (jockey) service, and complimentary daily lounge tea/coffee service.
3. **Luxury Specifications:** Equipped with Gaggenau and Bosch appliances, imported Italian marble kitchens, double-glazed Low-E windows, and Hansgrohe sanitary fittings.
4. **Competitive Global Pricing:** Positioned at ~USD 700 psf compared to Ritz-Carlton residences in Bangkok (~USD 1,200 psf) and Singapore (~USD 2,500 psf).
5. **Developer Incentives:** Free SPA legal fees, SPA disbursement, and foreign consent fees.</t>
        </is>
      </c>
    </row>
    <row r="73" ht="60" customHeight="1">
      <c r="A73" s="36" t="inlineStr">
        <is>
          <t>P66</t>
        </is>
      </c>
      <c r="B73" s="37" t="inlineStr">
        <is>
          <t>The Stride Office @ BBCC</t>
        </is>
      </c>
      <c r="C73" s="36" t="n">
        <v>32.9</v>
      </c>
      <c r="D73" s="37" t="inlineStr">
        <is>
          <t>chat-9a611672-11eb-4b76-a132-de77a4de21db</t>
        </is>
      </c>
      <c r="E73" s="25" t="inlineStr">
        <is>
          <t>### **The Stride Office @ BBCC — Project Details**
#### **Layouts &amp; Pricing**
*No layout-by-layout pricing table (`unitTypes`) is on record for this project.*  
- **Unit Sizes Available:** 1,087 sq. ft., 1,119 sq. ft., 1,184 sq. ft., and Whole Floor open-plan (11,383 sq. ft.) [KB:4pMAd0MlhyI0FH8secOH]
- **Bedrooms:** N/A (Strata Office units)
- **Nett Price:** Not on record
- **Gross Price:** Not on record
- **Sold Out Status per Layout:** Not on record
---
#### **Project Specifications**
- **Area:** Bukit Bintang, Kuala Lumpur (Jalan Hang Tuah, BBCC) [KB:T4MYH11fGH7gD25IzrJg]
- **Developer:** BBCC Development Sdn Bhd (JV between UDA Holdings, EcoWorld, and EPF) [KB:T4MYH11fGH7gD25IzrJg]
- **Land Title:** Strata Office [KB:T4MYH11fGH7gD25IzrJg]
- **Tenure:** Freehold
- **Total Units:** 276 strata office units [KB:T4MYH11fGH7gD25IzrJg]
- **Total Floors:** 46 storeys [KB:T4MYH11fGH7gD25IzrJg]
- **Maintenance Fee:** Not on record
- **Completion / Vacant Possession Date:** Not on record
- **Furnishing:** Not on record
- **Car Park Allocation:** Not on record
---
#### **Top Reasons to Buy**
1. **Transit-Oriented Hub:** Direct integrated access to Hang Tuah LRT &amp; Monorail, seamless connection to Merdeka MRT, and near the proposed KL–Singapore High-Speed Rail station [KB:NULllyJmfKo8a287cgdo].
2. **Strategic Location:** Pedestrian link bridge to Mitsui Shopping Park LaLaport BBCC, with close access to TRX, PNB118, and Bukit Bintang.
3. **Managed Business Facilities:** Dedicated business suite services (Level 6 &amp; 6M) including reception, business lounge, meeting/conference rooms, and video conferencing facilities [KB:Nxj5V7cu2r1BWGkdxFOG].
4. **Iconic Architecture &amp; Features:** Grand reception lobby, touch-card security access, 8 passenger lifts, and eco-friendly Low-E glass façade [KB:Nxj5V7cu2r1BWGkdxFOG].</t>
        </is>
      </c>
    </row>
    <row r="74" ht="60" customHeight="1">
      <c r="A74" s="36" t="inlineStr">
        <is>
          <t>P67</t>
        </is>
      </c>
      <c r="B74" s="37" t="inlineStr">
        <is>
          <t>Rimbun Saujana Residency</t>
        </is>
      </c>
      <c r="C74" s="36" t="n">
        <v>34.6</v>
      </c>
      <c r="D74" s="37" t="inlineStr">
        <is>
          <t>chat-e20813da-22af-42e9-a20d-4c95deb10292</t>
        </is>
      </c>
      <c r="E74" s="25" t="inlineStr">
        <is>
          <t>### Rimbun Saujana Residency — Project Details
**Overview Facts:**
- **Area:** Shah Alam, Selangor
- **Developer:** Saujana Development Sdn Bhd [KB:eAxh96uFbWzHSnBR9ZEC], [KB:wQTTBN86MwYJlxvAdZpc]
- **Land Title:** Residential [KB:eAxh96uFbWzHSnBR9ZEC], [KB:wQTTBN86MwYJlxvAdZpc]
- **Tenure:** Freehold [KB:eAxh96uFbWzHSnBR9ZEC], [KB:wQTTBN86MwYJlxvAdZpc]
- **Total Units:** 336 Units [KB:eAxh96uFbWzHSnBR9ZEC]
- **Total Floors:** 11 storeys (13 levels including car parks at Level LG &amp; G) [KB:eAxh96uFbWzHSnBR9ZEC]
- **Completion / Vacant Possession Date:** April 2027 [KB:eAxh96uFbWzHSnBR9ZEC], [KB:wQTTBN86MwYJlxvAdZpc]
- **Maintenance Fee:** RM0.38 psf inclusive of sinking fund [KB:eAxh96uFbWzHSnBR9ZEC], [KB:wQTTBN86MwYJlxvAdZpc]
- **Car Park Allocation:** Not on record
**Layout Details &amp; Pricing:**
*(Overall gross SPA price range: RM1,055,800 to RM1,459,800. No layouts are listed as sold out on record.)*
- **Type A1 (2 Bedrooms, 2 Bathrooms with Balcony)**
  - Size: 1,173 sqft
  - Gross Price: Sample from RM1,055,800 [KB:FNOXa13ikVaIvthu4Yu1]
  - Nett Price: Sample from RM1,003,010 [KB:FNOXa13ikVaIvthu4Yu1]
- **Type A2 (2 Bedrooms, 2 Bathrooms with Lanai)**
  - Size: 1,173 sqft
  - Gross Price: Per-layout list price not on record
  - Nett Price: Per-layout list price not on record
- **Type B1 (3 Bedrooms, 3 Bathrooms with Balcony)**
  - Size: 1,432 sqft
  - Gross Price: Per-layout list price not on record
  - Nett Price: Per-layout list price not on record
- **Type B2 (3 Bedrooms, 3 Bathrooms with Lanai)**
  - Size: 1,432 sqft
  - Gross Price: Sample RM1,189,800 [KB:FNOXa13ikVaIvthu4Yu1]
  - Nett Price: Sample RM1,110,310 [KB:FNOXa13ikVaIvthu4Yu1]
- **Type C1 (3+1 Bedrooms, 3 Bathrooms with Balcony)**
  - Size: 1,894 sqft
  - Gross Price: Per-layout list price not on record
  - Nett Price: Per-layout list price not on record
- **Type C2 (3+1 Bedrooms, 3 Bathrooms with Lanai)**
  - Size: 1,894 sqft
  - Gross Price: Sample RM1,441,800 – RM1,443,800 [KB:FNOXa13ikVaIvthu4Yu1], [KB:THYiTTIM1oVt1GQUGmkD]
  - Nett Price: Sample RM1,369,710 – RM1,371,610 [KB:FNOXa13ikVaIvthu4Yu1], [KB:THYiTTIM1oVt1GQUGmkD]
**Furnishing Included:**
- Entrance Grille
- Kitchen Cabinet &amp; Island
- Oven, Microwave, Hood &amp; Hob
- Washing Machine &amp; Dryer
- Light Fittings &amp; Fans (Living &amp; Dining)
- Air Conditioning Units
- Hot Water System
**Top Reasons to Buy:**
- Masterfully designed by award-winning Australian Architect Philip Cox [KB:qPszP37zRqArMBXme1Py].
- Exclusive low-density freehold development (336 units across 6.4 acres) [KB:eAxh96uFbWzHSnBR9ZEC].
- Prime Saujana Resort location with close proximity to Citta Mall, Japanese School of KL, Subang Skypark, and major expressways [KB:qPszP37zRqArMBXme1Py].</t>
        </is>
      </c>
    </row>
    <row r="75" ht="60" customHeight="1">
      <c r="A75" s="36" t="inlineStr">
        <is>
          <t>P68</t>
        </is>
      </c>
      <c r="B75" s="37" t="inlineStr">
        <is>
          <t>Luminar Residence Subang by BRDB</t>
        </is>
      </c>
      <c r="C75" s="36" t="n">
        <v>36.2</v>
      </c>
      <c r="D75" s="37" t="inlineStr">
        <is>
          <t>chat-dda553f8-c0df-4866-ba63-350f7f0fff14</t>
        </is>
      </c>
      <c r="E75" s="25" t="inlineStr">
        <is>
          <t>Here are the full details for **Luminar Residence Subang by BRDB** [KB:QRd9cyypsHICbTvqWH0S]:
### **Project Overview**
* **Area:** Subang Jaya (Jalan FA 2, Federal Avenue, 47500 Subang Jaya, Selangor) [KB:QRd9cyypsHICbTvqWH0S], [KB:OPTDiEkM4geuqbyLrNHG]
* **Developer:** BRDB (BSC, One Menerung, 111 Menerung, Miranda Hill, Senja, etc.) [KB:QRd9cyypsHICbTvqWH0S], [KB:Jg44zhi5b2Fm2S2aMQXR]
* **Tenure:** Freehold [KB:QRd9cyypsHICbTvqWH0S]
* **Land Title:** Commercial HDA / Serviced Apartment [KB:QRd9cyypsHICbTvqWH0S], [KB:OPTDiEkM4geuqbyLrNHG]
* **Total Units:** 751 units [KB:QRd9cyypsHICbTvqWH0S]
* **Total Floors:** 47 floors across 2 towers (Tower A: 47 floors / 358 units; Tower B: 47 floors / 393 units) [KB:OPTDiEkM4geuqbyLrNHG]
* **Completion / Vacant Possession Date:** Q4 2029 (54 months from SPA) [KB:QRd9cyypsHICbTvqWH0S], [KB:OPTDiEkM4geuqbyLrNHG]
* **Maintenance Fee:** Est. RM0.38 psf (inclusive of sinking fund) [KB:QRd9cyypsHICbTvqWH0S]
---
### **Layout Details &amp; Pricing**
| Layout | Size | Bedrooms / Bathrooms | Car Parks | Nett Price Range | Gross Price Rate | Status |
|---|---|---|---|---|---|---|
| **Type A** | 549 sqft | 1+1 Bedrooms, 1 Bathroom | 1–2 CP | RM411,000 – RM466,000 | RM847 psf | Available |
| **Type B** | 721 sqft | 1+1 Bedrooms, 1 Bathroom | 2 CP | RM492,000 – RM566,000 | RM780 psf | Available |
| **Type C** | 872 sqft | 2 Bedrooms, 2 Bathrooms | 2 CP | RM575,000 – RM680,000 | RM780 psf | Available |
| **Type D** | 1,076 sqft | 2+1 Bedrooms, 2 Bathrooms | 2 CP | RM680,000 – RM749,000 | RM700 psf | Available |
| **Type E** | 1,389 sqft | 3 Bedrooms, 2 Bathrooms | 3 CP | RM885,000 – RM977,000 | RM700 psf | Available |
*[KB:QRd9cyypsHICbTvqWH0S]*
---
### **Furnishing &amp; Car Park Allocation**
* **Car Park Allocation:** [KB:QRd9cyypsHICbTvqWH0S]
  * Type A: 1 to 2 car parks
  * Type B: 2 car parks
  * Type C: 2 car parks
  * Type D: 2 car parks
  * Type E: 3 car parks
* **Furnishing:** [KB:OPTDiEkM4geuqbyLrNHG], [KB:JttJvavoWcOFZbsnj2I2]
  * **All Types (A, B, C, D, E):** Digital lockset, air-conditioners (living &amp; bedrooms except study), bathroom fittings &amp; instant water heater, washer cum dryer.
  * **Types A, B &amp; C only:** Kitchen hood &amp; hob, fridge, microwave (or cash rebate option: Type A - RM15k, Type B - RM20k, Type C - RM30k).
---
### **Top Reasons to Buy** [KB:Jg44zhi5b2Fm2S2aMQXR]
1. **Established Developer:** Built by BRDB, behind iconic developments such as BSC, One Menerung, 111 Menerung, Miranda Hill, and Senja.
2. **Freehold Mixed Development:** Highly sought-after tenure for both own-stay and long-term investment.
3. **Pet-Friendly Residence:** Dedicated 3 public/pet parks right at the doorstep.
4. **Direct Highway Connectivity:** Dedicated ready-to-use link bridge directly in and out of Federal Highway.
5. **Phase 1 Early Bird Advantage:** Attractive entry pricing with strong potential for capital appreciation.
6. **Greenery &amp; Lifestyle:** Dedicated 1.9 acres of greenery with walking-distance access to retail and nearby education/healthcare hubs.</t>
        </is>
      </c>
    </row>
    <row r="76" ht="60" customHeight="1">
      <c r="A76" s="36" t="inlineStr">
        <is>
          <t>P69</t>
        </is>
      </c>
      <c r="B76" s="37" t="inlineStr">
        <is>
          <t>Accent PJ</t>
        </is>
      </c>
      <c r="C76" s="36" t="n">
        <v>38.8</v>
      </c>
      <c r="D76" s="37" t="inlineStr">
        <is>
          <t>chat-dcda679b-3a1c-4e3e-a058-bc2d0c3198e0</t>
        </is>
      </c>
      <c r="E76" s="25" t="inlineStr">
        <is>
          <t>### Accent PJ — Project Details
**Layout &amp; Pricing Details:**
- **Layout breakdown table (unitTypes):** Not on record.
- **Per-layout gross &amp; nett prices:** Not on record. (Unit sizes offered are rare family layouts of 1,500 sq ft and 1,880 sq ft [KB:xSDM5nqf680elnZclQ7A]. Indicative nett PSF rates range between RM900 – RM950 psf depending on the floor zone [KB:7oxjFSGSb6wE28tDQeCU]).
**Key Project Information:**
- **Area:** Section 13, Petaling Jaya (PJ), Selangor
- **Developer:** Avaland Berhad (Ayala Land Group) [KB:ZcYLsou3Ovp58QwVXT71]
- **Land Title:** Commercial HDA
- **Maintenance Fee:** RM0.45 – RM0.55 psf
- **Tenure:** Leasehold
- **Total Units:** 231 units
- **Total Floors:** 38 storeys (1 tower)
- **Completion / VP Date:** Estimated completion 2030 (APDL expected October 2026)
- **Furnishing:** Partial (Air-conditioning for living area &amp; all bedrooms; storage water heater for master bath; Type A master bath includes bathtub and his &amp; hers vanity)
- **Car Park Allocation:** 2 to 3 car parks per unit (side-by-side / tandem options) [KB:ZcYLsou3Ovp58QwVXT71]
**Top 10 Reasons to Buy:** [KB:ZcYLsou3Ovp58QwVXT71] [KB:xSDM5nqf680elnZclQ7A]
1. **Proven Developer:** Backed by Avaland Berhad (Ayala Land Group) [KB:ZcYLsou3Ovp58QwVXT71].
2. **Growth Track Record:** Track record of price appreciation in luxury developments [KB:ZcYLsou3Ovp58QwVXT71].
3. **Quality Fittings:** Premium Roca sanitary ware [KB:ZcYLsou3Ovp58QwVXT71].
4. **Private Lift Lobby:** Every unit features a private lift lobby [KB:ZcYLsou3Ovp58QwVXT71].
5. **Low Density:** Only 231 units on 2.17 acres (106 units/acre) with 49,500 sq ft of facilities [KB:ZcYLsou3Ovp58QwVXT71].
6. **Semi-D Corner Units:** All units are corner layouts for better light and airflow [KB:xSDM5nqf680elnZclQ7A].
7. **Rare Large Layouts:** Rare 1,500 sq ft and 1,880 sq ft unit sizes in PJ Section 13 [KB:xSDM5nqf680elnZclQ7A].
8. **Award-Winning Architect:** Designed by WDA Architects [KB:xSDM5nqf680elnZclQ7A].
9. **Side-by-Side Parking:** 2 to 3 side-by-side parking bays per unit [KB:xSDM5nqf680elnZclQ7A].
10. **Prime Location:** Adjacent to Jaya 33 with quick access to Federal Highway [KB:xSDM5nqf680elnZclQ7A].</t>
        </is>
      </c>
    </row>
    <row r="77" ht="60" customHeight="1">
      <c r="A77" s="36" t="inlineStr">
        <is>
          <t>P70</t>
        </is>
      </c>
      <c r="B77" s="37" t="inlineStr">
        <is>
          <t>26 Araville PJ</t>
        </is>
      </c>
      <c r="C77" s="36" t="n">
        <v>36.9</v>
      </c>
      <c r="D77" s="37" t="inlineStr">
        <is>
          <t>chat-24083fa0-658c-4f73-a2c4-bc505cf13d5b</t>
        </is>
      </c>
      <c r="E77" s="25" t="inlineStr">
        <is>
          <t>### **26 Araville PJ — Project Details**
#### **Layout &amp; Pricing Details**
- **Per-Layout Breakdown (Nett &amp; Gross Prices)**: Not on record (no per-layout unit table on file).
- **Built-up**: 3,665 sq ft (24' x 55') [KB:tHP5FqNmvnvgXlfR5QcF, KB:CVTN5o6N48Xa486jHiBy]
- **Bedrooms**: 5+1 Bedrooms (6 Bathrooms) [KB:CVTN5o6N48Xa486jHiBy]
#### **Specifications &amp; Overview**
- **Area**: Petaling Jaya (Jalan Masjid, along the street of Pelangi Utama Condominium) [KB:Zi3aq2Z9E7rllWFKUH1X, KB:tHP5FqNmvnvgXlfR5QcF]
- **Developer**: Pujangga Budiman [KB:Zi3aq2Z9E7rllWFKUH1X, KB:tHP5FqNmvnvgXlfR5QcF]
- **Land Title**: Strata [KB:Zi3aq2Z9E7rllWFKUH1X, KB:tHP5FqNmvnvgXlfR5QcF]
- **Tenure**: Leasehold till 10 March 2118 (94 years as of 2024) [KB:Zi3aq2Z9E7rllWFKUH1X, KB:tHP5FqNmvnvgXlfR5QcF]
- **Maintenance Fee**: Est. RM0.22 psf (RM800 – RM1,000) [KB:Zi3aq2Z9E7rllWFKUH1X, KB:tHP5FqNmvnvgXlfR5QcF]
- **Total Units**: 26 units only [KB:Zi3aq2Z9E7rllWFKUH1X, KB:tHP5FqNmvnvgXlfR5QcF]
- **Total Floors**: 3-Storey [KB:CVTN5o6N48Xa486jHiBy]
- **Completion / Vacant Possession Date**: Target completion Q4 2024 / Q1 2025 [KB:Zi3aq2Z9E7rllWFKUH1X, KB:tHP5FqNmvnvgXlfR5QcF, KB:CVTN5o6N48Xa486jHiBy]
- **Car Park Allocation**: 2 carparks [KB:CVTN5o6N48Xa486jHiBy]
#### **Top Reasons to Buy**
- Exclusive low-density development (26 units only) with garden greenery [KB:tHP5FqNmvnvgXlfR5QcF]
- Prime location with access to major highways [KB:tHP5FqNmvnvgXlfR5QcF]
- 3 traffic lights away from 1 Utama Shopping Centre (2 km) [KB:tHP5FqNmvnvgXlfR5QcF]
- Near upcoming LRT 3 Kayu Ara station [KB:tHP5FqNmvnvgXlfR5QcF]
- Close to international schools: The British International School (1.5 km) &amp; St. Joseph Institution International School (3.6 km) [KB:tHP5FqNmvnvgXlfR5QcF]
#### **Furnishing &amp; Provisions**
- Air-conditioning system (piping only) [KB:tHP5FqNmvnvgXlfR5QcF]
- Solar water heater with 2 units of stainless steel water tanks (275 gal each) [KB:tHP5FqNmvnvgXlfR5QcF]
- Home security alarm system [KB:tHP5FqNmvnvgXlfR5QcF]
- Toilet fittings (Johnson Suisse) [KB:tHP5FqNmvnvgXlfR5QcF]</t>
        </is>
      </c>
    </row>
    <row r="78" ht="60" customHeight="1">
      <c r="A78" s="36" t="inlineStr">
        <is>
          <t>P71</t>
        </is>
      </c>
      <c r="B78" s="37" t="inlineStr">
        <is>
          <t>The Atera, PJ by Paramount Property</t>
        </is>
      </c>
      <c r="C78" s="36" t="n">
        <v>35.8</v>
      </c>
      <c r="D78" s="37" t="inlineStr">
        <is>
          <t>chat-bd0fda03-e21d-4f1a-b767-daeee6e0f9d4</t>
        </is>
      </c>
      <c r="E78" s="25" t="inlineStr">
        <is>
          <t>Here are the details for **The Atera, PJ by Paramount Property** (Project ID: `4g4sxyf8GAVWkmXhOca9`):
### Layout Details
- **Type A**: Not for sale [KB:NveeC35MLodRahgNhBKu]
- **Type B**: 775 sqft | 2 Bedrooms, 2 Bathrooms
  - **Gross Price**: Not on record
  - **Nett Price**: Not on record
  - **Status**: Not on record as sold out
- **Type C**: 1,022 sqft | 3 Bedrooms, 2 Bathrooms
  - **Gross Price**: Not on record
  - **Nett Price**: Not on record
  - **Status**: Not on record as sold out
- **Type D**: 1,420 sqft | 4 Bedrooms, 3 Bathrooms
  - **Gross Price**: Not on record
  - **Nett Price**: Not on record
  - **Status**: Not on record as sold out
*(Note: Stated price rate on record is indicative RM780 – RM820 psf [KB:NveeC35MLodRahgNhBKu]).*
### Project Specifications
- **Area**: Jalan 51A/223, Petaling Jaya (PJ West) [KB:NveeC35MLodRahgNhBKu]
- **Developer**: Paramount Properties [KB:NveeC35MLodRahgNhBKu]
- **Land Title**: Commercial under HDA [KB:NveeC35MLodRahgNhBKu]
- **Maintenance Fee**: RM0.32 psf (inclusive of sinking fund) [KB:NveeC35MLodRahgNhBKu]
- **Tenure**: Leasehold (Leasehold 2119 / to be renewed fresh 99 years by 2029) [KB:NveeC35MLodRahgNhBKu]
- **Total Units**: Phase 1 (Tower 1): 676 units; Phase 2 (Tower 2): 788 units; Phase 3 (Tower 3): Future development [KB:NveeC35MLodRahgNhBKu]
- **Total Floors**: Tower 1: 48 floors; Tower 2: 52 floors [KB:NveeC35MLodRahgNhBKu]
- **Completion / VP Date**: Target end of 2029 [KB:NveeC35MLodRahgNhBKu]
- **Top Reasons to Buy**: Not on record (please check with D2 sales admin)
- **Furnishing**: Partly furnished (includes top &amp; bottom dry kitchen cabinets, melamine kitchen top, cooking hood &amp; hob, bathroom shower screen, instant water heater, living room air-conditioner, and master bedroom air-conditioner)
- **Car Park Allocation**: 1–2 car parks per unit [KB:NveeC35MLodRahgNhBKu]</t>
        </is>
      </c>
    </row>
    <row r="79" ht="60" customHeight="1">
      <c r="A79" s="36" t="inlineStr">
        <is>
          <t>P72</t>
        </is>
      </c>
      <c r="B79" s="37" t="inlineStr">
        <is>
          <t>Anyara Hills</t>
        </is>
      </c>
      <c r="C79" s="36" t="n">
        <v>34.7</v>
      </c>
      <c r="D79" s="37" t="inlineStr">
        <is>
          <t>chat-397942df-9e4b-438d-9076-6256661d66f8</t>
        </is>
      </c>
      <c r="E79" s="25" t="inlineStr">
        <is>
          <t>Here are the details for **Anyara Hills** based on the official project record:
### **Layouts, Sizes, Bedrooms &amp; Pricing**
* **Unit Layout Table:** Not on record (`unitTypes` is empty). Anyara Hills consists of master-planned **1-acre (43,560 sq ft)** private resort land lots for custom bungalow builds (built footprint is up to 20% of land size) [KB:szGvO53EFUCcxFk3pkia].
* **Bedrooms:** Not on record / N/A (custom land plots).
* **Nett &amp; Gross Prices:** Starting price on record is **RM3,740,000**. Specific lot price example: **RM7,610,880** gross (RM160 psf) / **RM7,010,880** nett (RM147 psf) after RM600k discount [KB:6CvZ736ZIYAzfKozZ5Cj]. Comprehensive per-lot nett/gross price breakdown is not on record.
* **Sold-Out Status by Layout:** Not on record (Phase 1 &amp; 2 consist of 216 lots with approximately 70% sold) [KB:szGvO53EFUCcxFk3pkia].
---
### **Project Specifications**
* **Area:** Semenyih, Selangor [KB:lcoAvNQusTRmeGYoxghX]
* **Developer:** KHK Land [KB:lcoAvNQusTRmeGYoxghX]
* **Land Title:** Agriculture land, Individual title [KB:lcoAvNQusTRmeGYoxghX]
* **Maintenance Fee:** RM2,500 per month [KB:2URqRFmnTI2O0U8sGyxL] *(Includes 2 years free maintenance post-completion [KB:HEjm01yJq593PCjeKqTx])*
* **Tenure:** Freehold [KB:lcoAvNQusTRmeGYoxghX]
* **Total Units:** 428 exclusive 1-acre lots across 584 acres [KB:lcoAvNQusTRmeGYoxghX]
* **Total Floors:** Not on record (land lots for bespoke builds)
* **Completion / Vacant Possession Date:** Phase 1 is currently starting handover [KB:szGvO53EFUCcxFk3pkia]; overall completion date is not on record.
* **Furnishing:** Not on record (bare land lots for custom builds)
* **Car Park Allocation:** Private land plots allowing custom garaging / bespoke parking
---
### **Top Reasons to Buy** [KB:szGvO53EFUCcxFk3pkia]
1. **Exclusive 584-Acre Freehold Masterplan:** Generous 1-acre minimum private land lots with over 70% wide open greenery and views of Banjaran Titiwangsa.
2. **High-Security Enclave:** 24/7 armed guard security, 12-ft double security wall with electric fencing, 200+ CCTVs, and an autonomous drone patrolling system.
3. **Resort-Style Amenities:** Features a natural hot spring &amp; spa, helicopter landing pad, 10-acre lifestyle hub, 8.2km jogging track, and 8 private lakes.</t>
        </is>
      </c>
    </row>
    <row r="80" ht="60" customHeight="1">
      <c r="A80" s="36" t="inlineStr">
        <is>
          <t>P73</t>
        </is>
      </c>
      <c r="B80" s="37" t="inlineStr">
        <is>
          <t>Yanu Hills @ Bon Estates</t>
        </is>
      </c>
      <c r="C80" s="36" t="n">
        <v>39.2</v>
      </c>
      <c r="D80" s="37" t="inlineStr">
        <is>
          <t>chat-ba3d9ac2-c520-4ed8-b4d0-3f3ae99a155b</t>
        </is>
      </c>
      <c r="E80" s="25" t="inlineStr">
        <is>
          <t>### Yanu Hills @ Bon Estates — Project Details
**Layout Breakdown (Size, Bedrooms, Nett &amp; Gross Price):**
- **Per-Layout Breakdown:** Not on record (individual unit layout rows are not recorded in the system).
- **Built-up Size:** 6,686 sq.ft. – 8,057 sq.ft. (Land size: 6,631 sq.ft. – 11,184 sq.ft.) [KB:XZkGV2oVRL3pv4W5sw9Y]
- **Bedrooms:** 5 bedrooms (all en-suite) [KB:XZkGV2oVRL3pv4W5sw9Y]
- **Nett Price:** From RM5,700,000 (after 5% discount) [KB:XZkGV2oVRL3pv4W5sw9Y]
- **Gross Price:** Not on record
- **Sold Out Status:** Not on record (per-unit status unavailable)
**Project Specifications:**
- **Area:** Taman Nadayu, Taman Melawati, Selangor [KB:1WZCCWkEm5w5M57mfdNw] [KB:VmS6RYBIEEdnxFCef8Nf]
- **Developer:** Bon Estates [KB:VmS6RYBIEEdnxFCef8Nf]
- **Land Title:** Selangor Individual [KB:1WZCCWkEm5w5M57mfdNw] [KB:XZkGV2oVRL3pv4W5sw9Y]
- **Maintenance Fee:** RM1,400 / month [KB:1WZCCWkEm5w5M57mfdNw] [KB:XZkGV2oVRL3pv4W5sw9Y]
- **Tenure:** Freehold [KB:1WZCCWkEm5w5M57mfdNw] [KB:XZkGV2oVRL3pv4W5sw9Y]
- **Total Units:** 10 units [KB:1WZCCWkEm5w5M57mfdNw] [KB:XZkGV2oVRL3pv4W5sw9Y]
- **Total Floors:** 9 units are 4 storeys &amp; 1 unit is 2 storeys [KB:J3ZGNkj9jeWKiMqwX5Nw]
- **Completion / Vacant Possession Date:** Expected Q1 2028 (CCC 2027) [KB:XZkGV2oVRL3pv4W5sw9Y] [KB:J3ZGNkj9jeWKiMqwX5Nw]
- **Furnishing:** Not on record
- **Car Park Allocation:** Not on record
**Top Reasons to Buy:**
- Ultra-exclusive, low-density sanctuary of only 10 bungalow units [KB:XZkGV2oVRL3pv4W5sw9Y] [KB:J3ZGNkj9jeWKiMqwX5Nw].
- Nestled at Bukit Tabur offering scenic nature views [KB:XZkGV2oVRL3pv4W5sw9Y] [KB:J3ZGNkj9jeWKiMqwX5Nw].
- Luxury unit amenities including private lift and private pool [KB:J3ZGNkj9jeWKiMqwX5Nw].
- Tropical modernist architectural design inspired by Brazilian style, featuring column-free structures, central courtyard, and passive cooling [KB:J3ZGNkj9jeWKiMqwX5Nw] [KB:VmS6RYBIEEdnxFCef8Nf].</t>
        </is>
      </c>
    </row>
    <row r="81" ht="60" customHeight="1">
      <c r="A81" s="36" t="inlineStr">
        <is>
          <t>P74</t>
        </is>
      </c>
      <c r="B81" s="37" t="inlineStr">
        <is>
          <t>Rafflesia @ Hill 4</t>
        </is>
      </c>
      <c r="C81" s="36" t="n">
        <v>34.8</v>
      </c>
      <c r="D81" s="37" t="inlineStr">
        <is>
          <t>chat-e396d131-7df4-458d-9816-fbfe3dffaf63</t>
        </is>
      </c>
      <c r="E81" s="25" t="inlineStr">
        <is>
          <t>Here are the full details on record for **Rafflesia @ Hill 4** (Project ID: `t384yiOBBy3lwLl3m28w`):
### Layout Details (Hill 4)
- **Type E &amp; E1** [KB:bbqblpFiXn1k1WavFd8k]
  - **Size:** 3,964 sq.ft.
  - **Bedrooms:** 5+2 Bedrooms, 6 Bathrooms
  - **Nett Price:** RM3,717,000 – RM3,783,000
  - **Gross Price:** RM988 psf
  - **Status:** Available
- **Type G &amp; G1** [KB:bbqblpFiXn1k1WavFd8k]
  - **Size:** 3,877 sq.ft.
  - **Bedrooms:** 5+2 Bedrooms, 6 Bathrooms
  - **Nett Price:** RM3,901,000 – RM4,217,000
  - **Gross Price:** RM1,006 psf
  - **Status:** Available
- **Type F &amp; F1**
  - **Size:** 3,950 sq.ft.
  - **Bedrooms:** 5+2 Bedrooms, 6 Bathrooms
  - **Nett Price:** RM3.6Mil – RM4.0Mil (Hill 4 overall range; specific unit breakdown not on record)
  - **Gross Price:** Not on record
  - **Status:** Available
- **Type H &amp; H1**
  - **Size:** 3,877 sq.ft.
  - **Bedrooms:** 5+2 Bedrooms, 6 Bathrooms
  - **Nett Price:** RM3.6Mil – RM4.0Mil (Hill 4 overall range; specific unit breakdown not on record)
  - **Gross Price:** Not on record
  - **Status:** Available
*(Note: Hill 1 &amp; Hill 2 are sold out. Hill 4 has active availability).* 
---
### Project Facts
- **Area:** Damansara Perdana
- **Developer:** MK Land [KB:sGqAWBJMlNg2krpiXxKU]
- **Land Title:** Residential (Individual) [KB:sGqAWBJMlNg2krpiXxKU]
- **Tenure:** Leasehold (Renew 99 years upon handover) [KB:sGqAWBJMlNg2krpiXxKU]
- **Maintenance Fee:** Currently RM600/month; RM450/month once handed over to MBPJ [KB:sGqAWBJMlNg2krpiXxKU]
- **Total Units:** 22 units [KB:sGqAWBJMlNg2krpiXxKU]
- **Total Floors:** Not on record (3-storey semi-detached homes)
- **Completion / Vacant Possession Date:** Q1 2027 [KB:sGqAWBJMlNg2krpiXxKU] (Q2 2027 in project sheet)
- **Furnishing:** Bare Unit with Solar Hot Water [KB:sGqAWBJMlNg2krpiXxKU] (includes free 4 air conditioners and Smart Home system worth RM7,000)
- **Car Park Allocation:** 3 Carparks
---
### Top Reasons to Buy [KB:bbqblpFiXn1k1WavFd8k] [KB:sGqAWBJMlNg2krpiXxKU]
1. **Nature's Neighbour:** Live adjacent to an 8-acre central park with a lake view, 330m above sea level.
2. **Lush 3-Storey Living:** Spacious and serene semi-detached homes nestled in nature.
3. **Unmatched Access:** Direct connectivity to DASH, LDP, and Penchala Link.
4. **Matured Amenities:** Located within a well-developed, established township.
5. **24/7 Security:** Gated and guarded community with round-the-clock patrolling.
6. **Smart Living Ready:** Prepped for smart home infrastructure.
7. **EV Charging Point:** Dedicated EV charging stations at home.
8. **Eco-Friendly Innovation:** Integrated rainwater harvesting system.
9. **Universal Design:** Elderly-friendly and universally accessible layout planning.
10. **Secluded Yet Central:** Private, exclusive living surrounded by greenery in a prime location.</t>
        </is>
      </c>
    </row>
    <row r="82" ht="60" customHeight="1">
      <c r="A82" s="36" t="inlineStr">
        <is>
          <t>P75</t>
        </is>
      </c>
      <c r="B82" s="37" t="inlineStr">
        <is>
          <t>DAYA Residence</t>
        </is>
      </c>
      <c r="C82" s="36" t="n">
        <v>28.8</v>
      </c>
      <c r="D82" s="37" t="inlineStr">
        <is>
          <t>chat-b2cba191-3757-493c-911d-de570b4b850c</t>
        </is>
      </c>
      <c r="E82" s="25" t="inlineStr">
        <is>
          <t>Here are the full details for **DAYA Residence**:
### Project Overview
- **Area:** Kwasa Damansara, Shah Alam (Seksyen U4), Selangor [KB:NvNuhXjB8zwwTwI8ndTU]
- **Developer:** TSR Development Sdn Bhd [KB:NvNuhXjB8zwwTwI8ndTU]
- **Land Title:** Strata Title [KB:JAgyc2on3i1yoT7uTrtL], [KB:NvNuhXjB8zwwTwI8ndTU]
- **Tenure:** Freehold [KB:JAgyc2on3i1yoT7uTrtL], [KB:NvNuhXjB8zwwTwI8ndTU]
- **Total Units:** 260 units (low density) [KB:NvNuhXjB8zwwTwI8ndTU]
- **Total Floors:** Not on record
- **Maintenance Fee:** RM0.28 psf (includes sinking fund) [KB:bCbUrxU9vRnqgjgOhw4q]
- **Expected Completion / VP:** December 2026 [KB:bCbUrxU9vRnqgjgOhw4q], [KB:NvNuhXjB8zwwTwI8ndTU]
- **Car Park Allocation:** Ample car parks (exact unit-by-unit allocation count is not on record)
- **Furnishing:** Partially furnished with digital lockset (Adel), TOTO sanitary fittings, and solar panel water heater system. (Full furnishing options: not on record)
- **Top Reasons to Buy:** Not on record
---
### Layout Breakdown
#### Phase 1 (Semi-D &amp; Bungalow)
All Phase 1 units feature **6 Bedrooms, 6+2 Bathrooms** [KB:bCbUrxU9vRnqgjgOhw4q].
- **Type A** (35' x 70' | 12 units) [KB:JAgyc2on3i1yoT7uTrtL]
  - **Size:** 3,329 sq. ft.
  - **Bedrooms:** 6
  - **Gross / List Price:** RM2,600,000 – RM2,980,000 [KB:bCbUrxU9vRnqgjgOhw4q]
  - **Nett Price:** Not on record per individual unit (Bumi: 7% discount + 3% rebate; Non-Bumi: 4.5% rebate) [KB:bCbUrxU9vRnqgjgOhw4q]
  - **Status:** Available (not listed as sold out)
- **Type B** (36' x 75' | 6 units) [KB:JAgyc2on3i1yoT7uTrtL]
  - **Size:** 3,790 sq. ft.
  - **Bedrooms:** 6
  - **Gross / List Price:** RM2,900,000 – RM3,300,000 [KB:bCbUrxU9vRnqgjgOhw4q]
  - **Nett Price:** Not on record per individual unit
  - **Status:** Available (not listed as sold out)
- **Type C** (37' x 75' | 4 units) [KB:JAgyc2on3i1yoT7uTrtL]
  - **Size:** 3,971 sq. ft.
  - **Bedrooms:** 6
  - **Gross / List Price:** RM3,000,000 – RM3,300,000 [KB:bCbUrxU9vRnqgjgOhw4q]
  - **Nett Price:** Not on record per individual unit
  - **Status:** Available (not listed as sold out)
- **Type D** (38' x 70' | 12 units) [KB:JAgyc2on3i1yoT7uTrtL]
  - **Size:** 3,680 sq. ft.
  - **Bedrooms:** 6
  - **Gross / List Price:** RM2,900,000 – RM3,100,000 [KB:bCbUrxU9vRnqgjgOhw4q]
  - **Nett Price:** Not on record per individual unit
  - **Status:** Available (not listed as sold out)
#### Phase 2 (Condo &amp; Town Villa)
- **Sizes:** 950 sq. ft. to 1,570 sq. ft. [KB:1Tu66BhmQd3nbV45QPvp]
- **Gross Price:** From RM580 psf [KB:1Tu66BhmQd3nbV45QPvp]
- **Bedrooms / Nett Price / Layout-specific pricing:** Not on record</t>
        </is>
      </c>
    </row>
    <row r="83" ht="60" customHeight="1">
      <c r="A83" s="36" t="inlineStr">
        <is>
          <t>P76</t>
        </is>
      </c>
      <c r="B83" s="37" t="inlineStr">
        <is>
          <t>Vila Setara Happy Garden</t>
        </is>
      </c>
      <c r="C83" s="36" t="n">
        <v>38.9</v>
      </c>
      <c r="D83" s="37" t="inlineStr">
        <is>
          <t>chat-2a3389c8-13d6-451c-b163-533d3b6eb049</t>
        </is>
      </c>
      <c r="E83" s="25" t="inlineStr">
        <is>
          <t>Here are the details for **Vila Setara Happy Garden** (Project ID: `FbLU7sHDjDA00nBXMYBr`):
### Layout Breakdown
* **Type A (Intermediate)** [KB:JMIoloUmepsVseVLstzY]
  - **Size:** 4,100 sqft (Land Size: 22'x85' / 1,873 sqft)
  - **Bedrooms:** 6+1 rooms (6 bathrooms)
  - **Gross Price:** RM2,606,080 [KB:VM3a0dhRzzNmS2rtIzPC]
  - **Nett Price:** RM2,606,080 (No rebate or discount on record) [KB:VM3a0dhRzzNmS2rtIzPC]
  - **Status:** Available
* **Type B (Intermediate)** [KB:JMIoloUmepsVseVLstzY]
  - **Size:** 4,100 sqft (Land Size: 22'x85' / 1,873 sqft)
  - **Bedrooms:** 6+1 rooms (6 bathrooms)
  - **Gross Price:** RM2,606,080 [KB:VM3a0dhRzzNmS2rtIzPC]
  - **Nett Price:** RM2,606,080 (No rebate or discount on record) [KB:VM3a0dhRzzNmS2rtIzPC]
  - **Status:** Available
* **Type C (Corner Lot)** [KB:JMIoloUmepsVseVLstzY]
  - **Size:** 5,595 sqft (Land Area: 3,573 – 5,360 sqft)
  - **Bedrooms:** 6+1 rooms (6 bathrooms)
  - **Gross Price / Nett Price:** RM4,222,880 – RM5,167,800 (Indicative on record)
  - **Status:** **Sold Out** (Only intermediate units remain available) [KB:C4582RRL2pDk91SvklL4] [KB:VM3a0dhRzzNmS2rtIzPC]
---
### Project Details
- **Area:** Happy Garden (Taman Gembira), Kuala Lumpur [KB:JMIoloUmepsVseVLstzY] [KB:KvtyvN6kiK9m39xieRnG]
- **Developer:** Pembangunan Jujur Sejiwa Sdn. Bhd. [KB:JMIoloUmepsVseVLstzY] [KB:KvtyvN6kiK9m39xieRnG]
- **Land Title:** Not on record
- **Maintenance Fee:** Not on record
- **Tenure:** Freehold [KB:JMIoloUmepsVseVLstzY] [KB:KvtyvN6kiK9m39xieRnG]
- **Total Units:** 63 units [KB:7Exlj90iqhhdZE46MxuC] [KB:JMIoloUmepsVseVLstzY] [KB:KvtyvN6kiK9m39xieRnG]
- **Total Floors:** 3 storeys [KB:7Exlj90iqhhdZE46MxuC] [KB:JMIoloUmepsVseVLstzY]
- **Completion / Vacant Possession Date:** Target completion Q3 2026 [KB:JMIoloUmepsVseVLstzY] [KB:KvtyvN6kiK9m39xieRnG]
- **Furnishing:** Partial features provided (Aircond piping/points, electric storage heaters with bath mixers, EV charger isolator, domestic water pump) [KB:7Exlj90iqhhdZE46MxuC]; full furnishing details not on record
- **Car Park Allocation:** 4 parking lots per unit
- **Top Reasons to Buy:**
  1. Exclusive low-density development of only 63 3-storey link villas in established Happy Garden [KB:7Exlj90iqhhdZE46MxuC] [KB:JMIoloUmepsVseVLstzY].
  2. Generous built-ups (4,100–5,595 sqft) with 6+1 rooms and ensuite bathrooms [KB:7Exlj90iqhhdZE46MxuC] [KB:JMIoloUmepsVseVLstzY].
  3. High ceilings (10ft on GF &amp; 1F), private roof deck, EV charger isolator, and gated &amp; guarded security [KB:7Exlj90iqhhdZE46MxuC].
  4. Strategic location within walking distance to SJKC La Salle and 5 minutes from Kuchai Lama and Sri Petaling commercial hubs [KB:KvtyvN6kiK9m39xieRnG].</t>
        </is>
      </c>
    </row>
    <row r="84" ht="60" customHeight="1">
      <c r="A84" s="36" t="inlineStr">
        <is>
          <t>P77</t>
        </is>
      </c>
      <c r="B84" s="37" t="inlineStr">
        <is>
          <t>E&amp;O – City of Elmina (Laman Embun Commercial)</t>
        </is>
      </c>
      <c r="C84" s="36" t="n">
        <v>46.9</v>
      </c>
      <c r="D84" s="37" t="inlineStr">
        <is>
          <t>chat-80037361-da39-4403-bb82-66b770d5d585</t>
        </is>
      </c>
      <c r="E84" s="25" t="inlineStr">
        <is>
          <t>### E&amp;O – City of Elmina (Laman Embun Commercial) — Project Details
**Project Overview:**
- **Area:** City of Elmina, Shah Alam, Selangor [KB:yY7RDRIHI4QxSjWHga5p]
- **Developer:** Eastern &amp; Oriental (E&amp;O) [KB:yY7RDRIHI4QxSjWHga5p]
- **Land Title:** Commercial [KB:yY7RDRIHI4QxSjWHga5p]
- **Tenure:** Freehold [KB:yY7RDRIHI4QxSjWHga5p]
- **Total Units:** 50 units (Phase 1) / 110 units total across Phase 1 &amp; 2 [KB:yY7RDRIHI4QxSjWHga5p]
- **Total Floors:** 2 to 3 Storeys [KB:5CCXsFoMutHpSPNo0FaX]
- **Completion / Vacant Possession Date:** Not on record
- **Maintenance Fee:** Not on record
- **Furnishing:** Not on record
- **Car Park Allocation:** Approximately 1,000 shared precinct parking bays [KB:5CCXsFoMutHpSPNo0FaX] (per-unit allocation not on record)
**Layouts &amp; Pricing:**
*Note: This is a commercial shop-office development (0 bedrooms) [KB:5CCXsFoMutHpSPNo0FaX]. Per-layout nett price, gross price, and sold-out unit status are **not on record** (overall commercial pricing starts from RM2,300,000).* 
- **Type A, A1, Aa, Ab, Ab1, Ac, Ac1, Ad (Intermediate):** Land 22’ x 75’ | Built-up: 3,256 sq.ft. (2 Floors) [KB:NFVlEHeNJKfZVqh6EBCf] | Nett Price: Not on record | Gross Price: Not on record | Status: Not on record
- **Type B, B1, B2, B3:** Land 24’ x 75’ | Built-up: 3,552 sq.ft. [KB:NFVlEHeNJKfZVqh6EBCf] | Nett Price: Not on record | Gross Price: Not on record | Status: Not on record
- **Type C, C1:** Land 26’ x 75’ | Built-up: 3,848 sq.ft. (2 Floors) [KB:NFVlEHeNJKfZVqh6EBCf] | Nett Price: Not on record | Gross Price: Not on record | Status: Not on record
- **Type D, D1 (End Lot):** Land 23’ x 75’ | Built-up: 3,259 sq.ft. [KB:NFVlEHeNJKfZVqh6EBCf] | Nett Price: Not on record | Gross Price: Not on record | Status: Not on record
- **Type E, E1:** Land 25’ x 75’ | Built-up: 3,554 sq.ft. [KB:NFVlEHeNJKfZVqh6EBCf] | Nett Price: Not on record | Gross Price: Not on record | Status: Not on record
- **Type F:** Land 27’ x 75’ | Built-up: 3,851 sq.ft. [KB:NFVlEHeNJKfZVqh6EBCf] | Nett Price: Not on record | Gross Price: Not on record | Status: Not on record
- **Type G1 - G6:** Built-up: up to 10,883 sq.ft. | Nett Price: Not on record | Gross Price: Not on record | Status: Not on record
**Top Reasons to Buy:**
- **Strategic Location &amp; Captive Catchment:** Located along Persiaran Dillenia within the 6,500-acre City of Elmina master township next to a 2,700-acre forest reserve [KB:5CCXsFoMutHpSPNo0FaX], serving a captive catchment of 50,000–60,000 residents with an average monthly household income of RM13,000–RM17,000 [KB:GJD4dzbXefNjY6tqNf15].
- **Signature E&amp;O Boutique Precinct:** Design-forward commercial hub with 2 dedicated entrances and seamless highway access (DASH, GCE, NKVE, NSE, LATAR) [KB:5CCXsFoMutHpSPNo0FaX, KB:VNUvC5XuKzNTWmFGjZdE].
- **Practical Features:** Select corner units feature private lifts at no extra cost, supported by ~1,000 parking bays throughout the precinct [KB:5CCXsFoMutHpSPNo0FaX].</t>
        </is>
      </c>
    </row>
    <row r="85" ht="60" customHeight="1">
      <c r="A85" s="36" t="inlineStr">
        <is>
          <t>P78</t>
        </is>
      </c>
      <c r="B85" s="37" t="inlineStr">
        <is>
          <t>Aspire office @ KL ecocity</t>
        </is>
      </c>
      <c r="C85" s="36" t="n">
        <v>29.9</v>
      </c>
      <c r="D85" s="37" t="inlineStr">
        <is>
          <t>chat-d1589039-8c34-485e-a243-831ae81a0ab2</t>
        </is>
      </c>
      <c r="E85" s="25" t="inlineStr">
        <is>
          <t>Here are the details on record for **Aspire office @ KL ecocity** (Project ID: `UyAt3rBJpmkv1GXZg73E`):
### Layouts &amp; Pricing
*A complete per-layout price table (`unitTypes`) is **not on record** for this project, nor is the specific sold-out status per unit. However, the available layout tiers and pricing structure are as follows:*
* **Executive Office (Levels 3A–9):** 1,152 sq ft – 1,971 sq ft | 0 Bedrooms [KB:PE2YftVpHiB4sJvPqZmm]
* **Signature Office (Levels 10–22):** 3,623 sq ft – 16,393 sq ft (sold in bundles of 3 units) | 0 Bedrooms [KB:PE2YftVpHiB4sJvPqZmm]
* **Premier Office (Levels 23–39A):** 18,690 sq ft (full floor) | 0 Bedrooms [KB:PE2YftVpHiB4sJvPqZmm]
**Pricing Guidelines:**
* **Gross / Asking Price:** From RM1,475 psf
* **Nett Price:** From ~RM1,180+ psf (after rebates of 13% to 21.5%)
* **Sample Unit Record:** 1,625 sq ft unit — SPA Gross Price RM2,404,000 | Net Price RM1,935,220 (after 19.5% rebate) [KB:GJkPxas8QGmfcf68tFgo]
* **Per-unit sold out status:** Not on record (check with D2 sales admin for live unit availability)
---
### Project Specifications &amp; Details
* **Area / Location:** KL Eco City, Bangsar / Mid Valley fringe CBD [KB:PE2YftVpHiB4sJvPqZmm]
* **Developer:** S P Setia Berhad [KB:PE2YftVpHiB4sJvPqZmm]
* **Land Title:** Commercial (Strata) — *Specific title classification is not on record*
* **Maintenance Fee:** RM0.65 psf
* **Tenure:** Leasehold [KB:PE2YftVpHiB4sJvPqZmm]
* **Total Units:** Not on record
* **Total Floors:** 42 storeys [KB:PE2YftVpHiB4sJvPqZmm]
* **Completion / VP Date:** Completed Q4 2023 (VP completed) [KB:PE2YftVpHiB4sJvPqZmm]
* **Furnishing:** Bare / Unfurnished
* **Car Park Allocation:** Available for bundled Signature and Premier units (*exact ratio per layout is not on record*)
---
### Top Reasons to Buy [KB:EJEM4gKXY1XqMOEq9J9g]
1. **Integrated Hub:** Part of the 25-acre KL Eco City development with direct pedestrian bridge link to Mid Valley Megamall &amp; The Gardens Mall.
2. **Prime Location &amp; High Demand:** Consistently high office precinct occupancy (&gt;85%) providing strong rental demand.
3. **Seamless Connectivity:** Direct link to Abdullah Hukum LRT &amp; KTM stations, plus access to 6 major highways/ramps.
4. **Attractive Valuation:** ~30% below KLCC Grade A office prices, with competitive entry from ~RM1,180 psf nett.
5. **Prestige &amp; Standards:** LEED Gold certified (Core &amp; Shell) and MSC Cybercentre status with a high-end office lobby.</t>
        </is>
      </c>
    </row>
    <row r="86" ht="60" customHeight="1">
      <c r="A86" s="36" t="inlineStr">
        <is>
          <t>P79</t>
        </is>
      </c>
      <c r="B86" s="37" t="inlineStr">
        <is>
          <t>The MET, Corporate Tower</t>
        </is>
      </c>
      <c r="C86" s="36" t="n">
        <v>35.5</v>
      </c>
      <c r="D86" s="37" t="inlineStr">
        <is>
          <t>chat-f637ff5e-4146-4ab3-8854-0c5ab0b26a56</t>
        </is>
      </c>
      <c r="E86" s="25" t="inlineStr">
        <is>
          <t>### Project Details: The MET, Corporate Tower (Project ID: `pSgeXCmr9VEVl1ha6uvG`)
#### Layouts &amp; Pricing
* **Per-Layout Table:** Not on record (individual unit layout table is not in the system record).
* **Bedrooms:** N/A (Commercial Corporate Office Building)
* **Layout Tiers [KB:BhO3a0JaoB1vqAtTZmOz]:**
  * **Executive Levels (Levels 10–25):** 12 Layouts (818 sqft – 2,584 sqft)
  * **Premier Levels (Levels 26–31):** 4 Layouts (3,606 sqft – 4,231 sqft)
  * **Prestige Levels (Levels 32–39):** 16,104 sqft (approx. 18,000 sqft)
* **Gross Price &amp; Nett Price per Layout:** Not on record. General sale pricing is listed at **RM1,200 – RM1,300 psf** [KB:BhO3a0JaoB1vqAtTZmOz] *(Sample unit list prices on record include 840 sqft at RM1,125,000 list price and 1,152 sqft at RM1,609,000–RM1,625,000 list price, with a 5% developer rebate [KB:JagMmSDTMqLVZwA8Tb3D]).*
* **Sold Out Status per Layout:** Not on record.
#### Project Specifications
* **Area:** KL Metropolis, Dutamas / Mont Kiara, Kuala Lumpur [KB:B4YOymtiSEJuUhzy8fFB]
* **Developer:** Triterra (Triterra Metropolis Sdn Bhd) [KB:B4YOymtiSEJuUhzy8fFB]
* **Land Title:** Strata Title Commercial [KB:B4YOymtiSEJuUhzy8fFB]
* **Maintenance Fee:** Not on record
* **Tenure:** Freehold [KB:B4YOymtiSEJuUhzy8fFB]
* **Total Units:** 488 Units across Block A and Block B (Block B sold to CIDB) [KB:B4YOymtiSEJuUhzy8fFB]
* **Total Floors:** Block A (42 Storeys) &amp; Block B (30 Storeys) [KB:B4YOymtiSEJuUhzy8fFB]
* **Completion / Vacant Possession Date:** Completed in Q2 2023 [KB:B4YOymtiSEJuUhzy8fFB]
* **Furnishing:** Not on record *(units come with toilet &amp; pantry points ready)* [KB:BhO3a0JaoB1vqAtTZmOz]
* **Car Park Allocation:** Not on record per unit *(Total building capacity: 1,208 car park bays and 300 motorcycle bays across Levels 1–8)* [KB:BhO3a0JaoB1vqAtTZmOz]
#### Top Reasons to Buy
1. **1st Grade A Office in Mont Kiara:** Prestigious commercial address developed by Triterra [KB:BhO3a0JaoB1vqAtTZmOz].
2. **Strategic Connectivity:** Located in KL Metropolis masterplan, approximately 10 minutes walking distance to the proposed future MRT3 station [KB:JagMmSDTMqLVZwA8Tb3D].
3. **Premium Amenities:** 10m high triple-volume grand lobby, business centre (5 meeting rooms), 75-pax business auditorium, glass box function hall, and gymnasium.
4. **GBI-Certified:** Green Building Index certified with double-layer Low-E laminated glass and rainwater harvesting system.</t>
        </is>
      </c>
    </row>
    <row r="87" ht="60" customHeight="1">
      <c r="A87" s="36" t="inlineStr">
        <is>
          <t>P80</t>
        </is>
      </c>
      <c r="B87" s="37" t="inlineStr">
        <is>
          <t>Sierra Hijau (Landed)</t>
        </is>
      </c>
      <c r="C87" s="36" t="n">
        <v>29</v>
      </c>
      <c r="D87" s="37" t="inlineStr">
        <is>
          <t>chat-c23c97ea-9433-4535-9575-9520f649b6f0</t>
        </is>
      </c>
      <c r="E87" s="25" t="inlineStr">
        <is>
          <t>Here are the project details on record for **Sierra Hijau (Landed)** (Project ID: `at9ch36p3DlkFc0oydiE`):
### Layout Details
*Note: Structured per-layout unit tables detailing exact built-up sqft, bedroom count, nett price, and gross price per specific unit type are **not on record**.*
Available phase layout summary [KB:mYNS6rnwTpiUMoNBSikk]:
- **Phase 2C &amp; Phase 2D:** Sold out
- **Phase 2B (Semi-D):** Completed
- **Phase 2H (Linked House):** 60 units
  - Land dimensions: 24 x 60 ft, 22 x 72.5 ft, 22 x 75 ft
  - Price: Around RM1.3 mil (nett/gross breakdown, bedrooms, and sqft: not on record)
- **Phase 2E (Semi-D &amp; Bungalow):** 24 semi-D units + 1 bungalow unit
  - Land dimensions: 40 x 80 ft
  - Price: Around RM2.2 mil (nett/gross breakdown, bedrooms, and sqft: not on record)
### Project Specifications
- **Area:** Sierra Ukay, Ukay Perdana, Ampang, Selangor [KB:mYNS6rnwTpiUMoNBSikk]
- **Developer:** Sierra Ukay Sdn Bhd (subsidiary of IJM Berhad) [KB:mYNS6rnwTpiUMoNBSikk]
- **Land Title:** Residential
- **Maintenance Fee:** TBC (Previous phase was RM0.20 psf x land area) [KB:mYNS6rnwTpiUMoNBSikk]
- **Tenure:** Leasehold expiring year 2114 [KB:mYNS6rnwTpiUMoNBSikk]
- **Total Units:** 310 landed units [KB:mYNS6rnwTpiUMoNBSikk]
- **Total Floors:** Not on record
- **Completion / Vacant Possession Date:** Target completion for Phase 2E and Phase 2H is end of 2025 [KB:mYNS6rnwTpiUMoNBSikk]
- **Top Reasons to Buy:** Not on record
- **Furnishing:** Basic bare unit with lighting and air-cond points given
- **Car Park Allocation:** Not on record</t>
        </is>
      </c>
    </row>
    <row r="88" ht="60" customHeight="1">
      <c r="A88" s="36" t="inlineStr">
        <is>
          <t>P81</t>
        </is>
      </c>
      <c r="B88" s="37" t="inlineStr">
        <is>
          <t>Melbourne Square</t>
        </is>
      </c>
      <c r="C88" s="36" t="n">
        <v>30</v>
      </c>
      <c r="D88" s="37" t="inlineStr">
        <is>
          <t>chat-b2deb18b-3897-458e-b1cd-53cb5c77d689</t>
        </is>
      </c>
      <c r="E88" s="25" t="inlineStr">
        <is>
          <t>### Melbourne Square (AURA @ MSQ) — Project Details
**Project Overview &amp; Key Facts**
* **Area / Location:** Southbank, Melbourne, Australia [KB:FdxUcl21jyRTmCZqmhzG]
* **Developer:** OSK Property (JV with EPF) [KB:FdxUcl21jyRTmCZqmhzG]
* **Land Title:** Not on record
* **Tenure:** Not on record
* **Total Units:** 673 units [KB:FdxUcl21jyRTmCZqmhzG]
* **Total Floors:** 67 levels [KB:FdxUcl21jyRTmCZqmhzG]
* **Completion / Vacant Possession Date:** Not on record
* **Maintenance Fee:** Not on record
* **Furnishing:** Not on record
* **Car Park Allocation:** 3 Bed units include 1 car park [KB:FdxUcl21jyRTmCZqmhzG]; general allocation for other unit types is not on record
---
**Layout Breakdown**
*Specific per-layout unit dimensions (sqft/sqm), gross price, nett price, and sold-out status by layout are not on record.* 
The unit type distribution on record is:
* **Studio &amp; 1 Bed, 1 Bath:** 87 units (13%) [KB:FdxUcl21jyRTmCZqmhzG] (size, nett/gross price: not on record)
* **1 Bed, 1 Bath + MPR:** 227 units (34%) [KB:FdxUcl21jyRTmCZqmhzG] (size, nett/gross price: not on record)
* **2 Bed, 2 Bath:** 277 units (41%) [KB:FdxUcl21jyRTmCZqmhzG] (size, nett/gross price: not on record)
* **3 Bed, 2–3 Bath (1 Car):** 78 units (11%) [KB:FdxUcl21jyRTmCZqmhzG] (size, nett/gross price: not on record)
* **Penthouse:** 4 units (1%) [KB:FdxUcl21jyRTmCZqmhzG] (size, nett/gross price: not on record)
---
**Top Reasons to Buy** [KB:NDqBxXIpyqkPJ6LFuiDn]
1. **Integrated Precinct Masterplan:** Part of the premier 5-acre Melbourne Square integrated development in Southbank [KB:FdxUcl21jyRTmCZqmhzG].
2. **Parkside Living:** Direct access to Kennedy Park, featuring 3,745 m² of lush parkland, established gardens, and a waterfall feature [KB:NDqBxXIpyqkPJ6LFuiDn].
3. **On-Site Retail &amp; Supermarket:** Anchored by Victoria's first double-storey Woolworths supermarket (open 7 am–midnight) and an active dining/retail strip [KB:NDqBxXIpyqkPJ6LFuiDn].
4. **Childcare &amp; Education Hub:** Includes Nido Early School on-site and is surrounded by Melbourne's primary, secondary, and university education networks [KB:NDqBxXIpyqkPJ6LFuiDn].</t>
        </is>
      </c>
    </row>
    <row r="89" ht="60" customHeight="1">
      <c r="A89" s="36" t="inlineStr">
        <is>
          <t>P82</t>
        </is>
      </c>
      <c r="B89" s="37" t="inlineStr">
        <is>
          <t>Lagenda Tunku (Villa Gemilang)</t>
        </is>
      </c>
      <c r="C89" s="36" t="n">
        <v>27</v>
      </c>
      <c r="D89" s="37" t="inlineStr">
        <is>
          <t>chat-cd95d6ee-0795-43d9-817c-6935b919af2b</t>
        </is>
      </c>
      <c r="E89" s="25" t="inlineStr">
        <is>
          <t>Lagenda Tunku (Villa Gemilang) is not on record in D2's active project inventory.
Here is the status for the requested details:
- **Layouts (Size, Bedrooms, Nett Price, Gross Price):** Not on record
- **Area:** Not on record
- **Developer:** Not on record
- **Land Title:** Not on record
- **Maintenance Fee:** Not on record
- **Tenure:** Not on record
- **Total Units:** Not on record
- **Total Floors:** Not on record
- **Completion / Vacant Possession Date:** Not on record
- **Top Reasons to Buy:** Not on record
- **Furnishing:** Not on record
- **Car Park Allocation:** Not on record
If you need details or wish to verify whether this project is available off-inventory, please consult D2 sales admin.</t>
        </is>
      </c>
    </row>
    <row r="90" ht="60" customHeight="1">
      <c r="A90" s="36" t="inlineStr">
        <is>
          <t>P83</t>
        </is>
      </c>
      <c r="B90" s="37" t="inlineStr">
        <is>
          <t>Ashbourne</t>
        </is>
      </c>
      <c r="C90" s="36" t="n">
        <v>37</v>
      </c>
      <c r="D90" s="37" t="inlineStr">
        <is>
          <t>chat-7234ac65-20f4-4355-935a-ecc5bffc3bb9</t>
        </is>
      </c>
      <c r="E90" s="25" t="inlineStr">
        <is>
          <t>Ashbourne is not currently listed in the D2 project inventory record. As a result, details such as layout sizes, nett/gross pricing, maintenance fees, developer info, and completion dates are not on record, and I cannot substitute or estimate information for projects outside our inventory.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2026-10-27T13:53:44Z</dcterms:created>
  <dcterms:modified xmlns:dcterms="http://purl.org/dc/terms/" xmlns:xsi="http://www.w3.org/2001/XMLSchema-instance" xsi:type="dcterms:W3CDTF">2026-10-27T15:38:00Z</dcterms:modified>
</cp:coreProperties>
</file>