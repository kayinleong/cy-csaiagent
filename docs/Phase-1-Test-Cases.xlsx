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ka.yin.leong/Documents/Personal Development/cy-csaiagent/docs/"/>
    </mc:Choice>
  </mc:AlternateContent>
  <xr:revisionPtr revIDLastSave="0" documentId="13_ncr:1_{D223DDFB-D16B-1E48-8CEF-1AC285714011}" xr6:coauthVersionLast="47" xr6:coauthVersionMax="47" xr10:uidLastSave="{00000000-0000-0000-0000-000000000000}"/>
  <bookViews>
    <workbookView xWindow="1000" yWindow="660" windowWidth="29240" windowHeight="18980" xr2:uid="{00000000-000D-0000-FFFF-FFFF00000000}"/>
  </bookViews>
  <sheets>
    <sheet name="Instructions" sheetId="1" r:id="rId1"/>
    <sheet name="Test Cases" sheetId="2" r:id="rId2"/>
    <sheet name="Sign-of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8" i="3"/>
  <c r="B7" i="3"/>
  <c r="B6" i="3"/>
  <c r="B5" i="3"/>
</calcChain>
</file>

<file path=xl/sharedStrings.xml><?xml version="1.0" encoding="utf-8"?>
<sst xmlns="http://schemas.openxmlformats.org/spreadsheetml/2006/main" count="369" uniqueCount="269">
  <si>
    <t>D2 Agent Assistant — Phase 1 (AI Onboarding Coach MVP) Test Plan</t>
  </si>
  <si>
    <t>How to verify Phase 1 is complete. Run each case on the 'Test Cases' tab, record the result, then complete the 'Sign-off' tab.</t>
  </si>
  <si>
    <t>Purpose</t>
  </si>
  <si>
    <t>Phase 1 = the AI Onboarding Coach MVP (per the D2&amp;Co proposal). Note: the proposal numbers phases from 0, so this maps to the internal roadmap 'Phase 2'. A pilot agent should get a useful, D2-specific, cited answer in their pocket at 11pm — plus onboarding tracking, stall nudges, escalation, and admin KB management.</t>
  </si>
  <si>
    <t>Before you start — prerequisites</t>
  </si>
  <si>
    <t>Environment</t>
  </si>
  <si>
    <t>The app running at http://localhost:3000 (npm run dev) or the deployed URL.</t>
  </si>
  <si>
    <t>Test accounts</t>
  </si>
  <si>
    <t>Seed data</t>
  </si>
  <si>
    <t>Knowledge Base documents with real D2 content (project briefs, sales SOPs, channel playbooks), published in English, Bahasa Malaysia AND 中文.</t>
  </si>
  <si>
    <t>Devices</t>
  </si>
  <si>
    <t>A phone or a mobile-sized browser window (the chat is mobile-first).</t>
  </si>
  <si>
    <t>Background jobs</t>
  </si>
  <si>
    <t>Stall/escalation jobs run 'on-visit' — sign in as an authorized user and load the app to trigger any due jobs (there is no overnight scheduler).</t>
  </si>
  <si>
    <t>Languages</t>
  </si>
  <si>
    <t>Test in English, Bahasa Malaysia, and 中文.</t>
  </si>
  <si>
    <t>How to fill this in</t>
  </si>
  <si>
    <t>1</t>
  </si>
  <si>
    <t>Work down the 'Test Cases' tab. For each row, follow 'Steps' and compare with 'Expected Result'.</t>
  </si>
  <si>
    <t>2</t>
  </si>
  <si>
    <t>Set the 'Result' cell (yellow) using the dropdown: Pass / Fail / Blocked / Not Run. It starts as 'Not Run'.</t>
  </si>
  <si>
    <t>3</t>
  </si>
  <si>
    <t>Put anything you observed (screens, error text, the actual behaviour) in 'Actual / Comments' (yellow).</t>
  </si>
  <si>
    <t>4</t>
  </si>
  <si>
    <t>'Known Status' flags cases that are expected to FAIL on the current build (features built but not yet wired live) — record the real result anyway.</t>
  </si>
  <si>
    <t>5</t>
  </si>
  <si>
    <t>When done, open the 'Sign-off' tab: mark the 5 success criteria + pilot gate, and give an overall Go / No-Go.</t>
  </si>
  <si>
    <t>Priority</t>
  </si>
  <si>
    <t>P0 = must work for Phase 1 to ship · P1 = important · P2 = polish.</t>
  </si>
  <si>
    <t>Only edit the yellow cells</t>
  </si>
  <si>
    <t>Result and Actual / Comments on 'Test Cases'; and the yellow cells on 'Sign-off'.</t>
  </si>
  <si>
    <t>Example (how a filled row looks — do not edit here)</t>
  </si>
  <si>
    <t>ID</t>
  </si>
  <si>
    <t>Test Case</t>
  </si>
  <si>
    <t>Steps</t>
  </si>
  <si>
    <t>Expected Result</t>
  </si>
  <si>
    <t>Result</t>
  </si>
  <si>
    <t>Actual / Comments</t>
  </si>
  <si>
    <t>B9</t>
  </si>
  <si>
    <t>Upfront AI disclosure</t>
  </si>
  <si>
    <t>Open the chat for the first time (clear the disclosure ack).</t>
  </si>
  <si>
    <t>A blocking 'this uses AI' notice appears before chatting.</t>
  </si>
  <si>
    <t>Pass</t>
  </si>
  <si>
    <t>Modal showed on first load; AI badge stayed in the header after.</t>
  </si>
  <si>
    <t>Area</t>
  </si>
  <si>
    <t>Preconditions</t>
  </si>
  <si>
    <t>Known Status</t>
  </si>
  <si>
    <t>A · User interface &amp; chat surface</t>
  </si>
  <si>
    <t>A1</t>
  </si>
  <si>
    <t>UI / Theme</t>
  </si>
  <si>
    <t>Brand theme applied</t>
  </si>
  <si>
    <t>P1</t>
  </si>
  <si>
    <t>Any signed-in account</t>
  </si>
  <si>
    <t>Load any page (chat, sign-in, an admin page).</t>
  </si>
  <si>
    <t>Warm off-white background; lime-green primary buttons with dark text; text is easily readable; focus rings visible on inputs.</t>
  </si>
  <si>
    <t>Not Run</t>
  </si>
  <si>
    <t>A2</t>
  </si>
  <si>
    <t>UI / Nav</t>
  </si>
  <si>
    <t>Chat top navigation</t>
  </si>
  <si>
    <t>Signed in as an agent; desktop width</t>
  </si>
  <si>
    <t>Open the chat page.</t>
  </si>
  <si>
    <t>Top bar shows: D2 logo, 'D2 Agent Assistant', an 'AI' badge, a centered Auto/Coach/Finder/Reply control (Auto active), EN/BM/中文 toggles, and a 'Talk to my coach' button.</t>
  </si>
  <si>
    <t>A3</t>
  </si>
  <si>
    <t>UI / Hero</t>
  </si>
  <si>
    <t>Personalized greeting</t>
  </si>
  <si>
    <t>Signed-in agent with a display name; empty chat</t>
  </si>
  <si>
    <t>Open a new/empty chat.</t>
  </si>
  <si>
    <t>Hero reads 'Hi {first name}, ready to close your first deal?' in a serif font; greets by the agent's name (graceful fallback if no name).</t>
  </si>
  <si>
    <t>A4</t>
  </si>
  <si>
    <t>Suggestion cards</t>
  </si>
  <si>
    <t>P2</t>
  </si>
  <si>
    <t>Empty chat</t>
  </si>
  <si>
    <t>Look at the empty state.</t>
  </si>
  <si>
    <t>A 2×2 grid of suggestion cards (Finder, Coach, Reply, Coach) each with an example prompt.</t>
  </si>
  <si>
    <t>A5</t>
  </si>
  <si>
    <t>UI / Chat</t>
  </si>
  <si>
    <t>Tapping a suggestion sends it</t>
  </si>
  <si>
    <t>Tap the 'Walk me through my first Meta ad campaign' card.</t>
  </si>
  <si>
    <t>Coach mode is selected and the prompt is sent; a reply streams in.</t>
  </si>
  <si>
    <t>A6</t>
  </si>
  <si>
    <t>Reply card asks for a lead</t>
  </si>
  <si>
    <t>Empty chat, no active lead</t>
  </si>
  <si>
    <t>Tap the 'Draft: loan eligibility…' (Reply) card.</t>
  </si>
  <si>
    <t>Reply mode is selected and a 'which lead?' selector opens BEFORE anything is sent.</t>
  </si>
  <si>
    <t>A7</t>
  </si>
  <si>
    <t>Mode tabs switch pillar</t>
  </si>
  <si>
    <t>In a chat</t>
  </si>
  <si>
    <t>Click Coach, then Finder, then Reply.</t>
  </si>
  <si>
    <t>The active pill moves; the next message is handled by the chosen mode.</t>
  </si>
  <si>
    <t>A8</t>
  </si>
  <si>
    <t>Message input behaviour</t>
  </si>
  <si>
    <t>Type a message; press Enter; then try Shift+Enter.</t>
  </si>
  <si>
    <t>Enter sends; Shift+Enter adds a new line; the lime send button is disabled while a reply is streaming.</t>
  </si>
  <si>
    <t>A9</t>
  </si>
  <si>
    <t>UI / Disclosure</t>
  </si>
  <si>
    <t>Footer AI disclosure</t>
  </si>
  <si>
    <t>Look just under the input box.</t>
  </si>
  <si>
    <t>Persistent text: 'You're chatting with AI. Escalate to your coach any time.'</t>
  </si>
  <si>
    <t>A10</t>
  </si>
  <si>
    <t>UI / Mobile</t>
  </si>
  <si>
    <t>Mobile-first layout</t>
  </si>
  <si>
    <t>P0</t>
  </si>
  <si>
    <t>Phone or narrow (&lt;640px) viewport</t>
  </si>
  <si>
    <t>Open the chat on a phone-sized screen.</t>
  </si>
  <si>
    <t>Nav collapses cleanly; suggestion cards stack to one column; the surface is comfortably usable one-handed.</t>
  </si>
  <si>
    <t>A11</t>
  </si>
  <si>
    <t>UI / i18n</t>
  </si>
  <si>
    <t>Trilingual chat UI</t>
  </si>
  <si>
    <t>—</t>
  </si>
  <si>
    <t>Open /ms/chat and /zh/chat.</t>
  </si>
  <si>
    <t>Hero, subtitle, suggestion prompts and footer all appear in Bahasa Malaysia / 中文.</t>
  </si>
  <si>
    <t>A12</t>
  </si>
  <si>
    <t>UI / History</t>
  </si>
  <si>
    <t>Separate chat sessions</t>
  </si>
  <si>
    <t>Signed-in agent</t>
  </si>
  <si>
    <t>Send a message; open history → 'New conversation'; send another message; open history again.</t>
  </si>
  <si>
    <t>TWO separate conversations, each titled by its first message; messages are NOT merged into one thread.</t>
  </si>
  <si>
    <t>A13</t>
  </si>
  <si>
    <t>History loading state</t>
  </si>
  <si>
    <t>Agent with past conversations</t>
  </si>
  <si>
    <t>Open the conversation-history drawer.</t>
  </si>
  <si>
    <t>Skeleton placeholder rows appear while it loads (not a blank or stale list).</t>
  </si>
  <si>
    <t>B · Coach MVP scope (core Phase 1)</t>
  </si>
  <si>
    <t>B1</t>
  </si>
  <si>
    <t>Coach / Chat</t>
  </si>
  <si>
    <t>Persistent chat history</t>
  </si>
  <si>
    <t>Send a message; refresh the page; reopen the conversation from history.</t>
  </si>
  <si>
    <t>The reply streams token-by-token; the conversation persists across a refresh and across sessions.</t>
  </si>
  <si>
    <t>B2</t>
  </si>
  <si>
    <t>Coach / Grounding</t>
  </si>
  <si>
    <t>D2-grounded, cited answers</t>
  </si>
  <si>
    <t>KB seeded with D2 content</t>
  </si>
  <si>
    <t>Ask a real D2 training/project question (e.g. 'pricing structure for Royal Suites').</t>
  </si>
  <si>
    <t>The answer is grounded in D2's KB and cites sources (e.g. [KB:…]); it is NOT generic real-estate advice.</t>
  </si>
  <si>
    <t>B3</t>
  </si>
  <si>
    <t>Coach / Help</t>
  </si>
  <si>
    <t>Help question gives guidance, not an alert</t>
  </si>
  <si>
    <t>Type 'what can you do' or 'hi'.</t>
  </si>
  <si>
    <t>A short, friendly overview of Coach / Finder / Reply and how Auto + the mode tabs work — NOT the 'no article / coach notified' alert.</t>
  </si>
  <si>
    <t>Recently fixed — should PASS.</t>
  </si>
  <si>
    <t>B4</t>
  </si>
  <si>
    <t>Coach / Escalation</t>
  </si>
  <si>
    <t>KB miss escalates to the coach</t>
  </si>
  <si>
    <t>KB seeded; a senior coach assigned</t>
  </si>
  <si>
    <t>Ask a D2 question you know is NOT in the KB.</t>
  </si>
  <si>
    <t>The agent sees a 'couldn't find an article — coach notified' message AND an escalation / knowledge-gap appears on the senior coach's dashboard.</t>
  </si>
  <si>
    <t>KNOWN GAP: the live route shows the toast but does not yet write the escalation/gap row. Expected to FAIL until wired.</t>
  </si>
  <si>
    <t>B5</t>
  </si>
  <si>
    <t>Coach / Journey</t>
  </si>
  <si>
    <t>Onboarding checkpoint awareness</t>
  </si>
  <si>
    <t>Agent mid-onboarding</t>
  </si>
  <si>
    <t>Ask the Coach 'where am I in my onboarding?'</t>
  </si>
  <si>
    <t>The Coach is aware of the agent's stage/checkpoint and tailors its answer.</t>
  </si>
  <si>
    <t>KNOWN GAP: journey context not injected into the live Coach. Expected to FAIL until wired.</t>
  </si>
  <si>
    <t>B6</t>
  </si>
  <si>
    <t>Checkpoint advancement</t>
  </si>
  <si>
    <t>Agent at a checkpoint with a comprehension check</t>
  </si>
  <si>
    <t>Complete the comprehension check (paraphrase the concept in your own words).</t>
  </si>
  <si>
    <t>The checkpoint advances and the agent's profile updates.</t>
  </si>
  <si>
    <t>KNOWN GAP: advancement is not wired to any action. Expected to FAIL until wired.</t>
  </si>
  <si>
    <t>B7</t>
  </si>
  <si>
    <t>Coach / Stall</t>
  </si>
  <si>
    <t>Proactive stall nudge (2 days)</t>
  </si>
  <si>
    <t>An agent idle 2+ days</t>
  </si>
  <si>
    <t>Simulate 2+ days of no activity, then load the app as an authorized user (triggers on-visit jobs).</t>
  </si>
  <si>
    <t>A proactive nudge fires and a stall alert appears on the senior-coach dashboard.</t>
  </si>
  <si>
    <t>KNOWN GAP: last-active time isn't updated on use, so stalls aren't activity-driven. Expected to FAIL until wired.</t>
  </si>
  <si>
    <t>B8</t>
  </si>
  <si>
    <t>Auto-escalate after 48h</t>
  </si>
  <si>
    <t>A fired nudge, unanswered 48h</t>
  </si>
  <si>
    <t>Leave the nudge unanswered for 48h (within working hours).</t>
  </si>
  <si>
    <t>The case auto-escalates and is visible to the senior coach.</t>
  </si>
  <si>
    <t>KNOWN GAP: depends on the same last-active time. Expected to FAIL until wired.</t>
  </si>
  <si>
    <t>Coach / Disclosure</t>
  </si>
  <si>
    <t>First-ever visit (clear the disclosure ack)</t>
  </si>
  <si>
    <t>Open the chat for the first time.</t>
  </si>
  <si>
    <t>A blocking 'this uses AI' notice appears before chatting; afterwards a persistent AI badge + footer remain.</t>
  </si>
  <si>
    <t>B10</t>
  </si>
  <si>
    <t>Coach / Handoff</t>
  </si>
  <si>
    <t>Human handoff with context</t>
  </si>
  <si>
    <t>Click 'Talk to my coach'.</t>
  </si>
  <si>
    <t>The handoff fires; the senior coach is notified with a PII-free context bundle; a success toast shows.</t>
  </si>
  <si>
    <t>B11</t>
  </si>
  <si>
    <t>Admin / KB</t>
  </si>
  <si>
    <t>Plain-language KB management</t>
  </si>
  <si>
    <t>Admin account</t>
  </si>
  <si>
    <t>As admin, create/edit/publish a KB document; then as an agent, ask the Coach about it.</t>
  </si>
  <si>
    <t>The document is saved with NO engineer involved, and the Coach can retrieve/cite it.</t>
  </si>
  <si>
    <t>B12</t>
  </si>
  <si>
    <t>Admin / Logs</t>
  </si>
  <si>
    <t>Conversation log viewer</t>
  </si>
  <si>
    <t>As admin, open a conversation from the conversation log.</t>
  </si>
  <si>
    <t>The transcript is viewable read-only and the access is audited.</t>
  </si>
  <si>
    <t>B13</t>
  </si>
  <si>
    <t>Coach / Dashboard</t>
  </si>
  <si>
    <t>Senior-coach downline visibility</t>
  </si>
  <si>
    <t>Senior coach with a downline</t>
  </si>
  <si>
    <t>As the coach, open the dashboard.</t>
  </si>
  <si>
    <t>The coach sees ONLY their own downline: each agent's stage/checkpoint/days, plus a stall inbox.</t>
  </si>
  <si>
    <t>B14</t>
  </si>
  <si>
    <t>Coach / i18n</t>
  </si>
  <si>
    <t>Multilingual answers (EN/BM/中文)</t>
  </si>
  <si>
    <t>KB seeded in 3 languages</t>
  </si>
  <si>
    <t>Ask questions in EN, BM and 中文; also try the reply-language toggle.</t>
  </si>
  <si>
    <t>UI copy is localized; the reply comes back in the right language; per-message language is auto-detected.</t>
  </si>
  <si>
    <t>B15</t>
  </si>
  <si>
    <t>Router</t>
  </si>
  <si>
    <t>Intent routing + manual override</t>
  </si>
  <si>
    <t>In Auto, ask a Finder-style question; then pin a specific mode via the tab.</t>
  </si>
  <si>
    <t>The router sends it to the right specialist; the mode tab forces the chosen pillar.</t>
  </si>
  <si>
    <t>B16</t>
  </si>
  <si>
    <t>Admin / Model</t>
  </si>
  <si>
    <t>Model-agnostic provider</t>
  </si>
  <si>
    <t>In admin Model config, change the model for a pillar; send a message.</t>
  </si>
  <si>
    <t>The new model is used; no model IDs are hard-coded (they resolve from config).</t>
  </si>
  <si>
    <t>B17</t>
  </si>
  <si>
    <t>PDPA</t>
  </si>
  <si>
    <t>PII pseudonymization + audit</t>
  </si>
  <si>
    <t>Send a message containing a phone number / IC / email.</t>
  </si>
  <si>
    <t>The PII is tokenized before it reaches the model; an append-only audit row (hashes only) is written.</t>
  </si>
  <si>
    <t>C · Admin &amp; management (supporting surfaces)</t>
  </si>
  <si>
    <t>C1</t>
  </si>
  <si>
    <t>Nav</t>
  </si>
  <si>
    <t>Sidebar active state</t>
  </si>
  <si>
    <t>Visit Home, then Dashboard, then Knowledge Base.</t>
  </si>
  <si>
    <t>Only the CURRENT section is highlighted in the sidebar (Home is not always highlighted).</t>
  </si>
  <si>
    <t>C2</t>
  </si>
  <si>
    <t>Users</t>
  </si>
  <si>
    <t>Coach reassignment reflects on Users</t>
  </si>
  <si>
    <t>Admin; an agent + a coach exist</t>
  </si>
  <si>
    <t>Reassign the agent's coach on /coach-assignment, then open /users.</t>
  </si>
  <si>
    <t>The 'Senior coach' column on /users shows the NEW coach.</t>
  </si>
  <si>
    <t>C3</t>
  </si>
  <si>
    <t>Cohorts</t>
  </si>
  <si>
    <t>Add / remove agents in a cohort</t>
  </si>
  <si>
    <t>Admin; a cohort + some new-agents exist</t>
  </si>
  <si>
    <t>On /cohorts open 'Manage agents' → add an agent (count +1) → remove an agent (count −1).</t>
  </si>
  <si>
    <t>Membership updates live; the agent count reflects it; the change is audited.</t>
  </si>
  <si>
    <t>New feature — should PASS.</t>
  </si>
  <si>
    <t>C4</t>
  </si>
  <si>
    <t>Agents</t>
  </si>
  <si>
    <t>Agent profile readability</t>
  </si>
  <si>
    <t>Admin/coach; an agent in a cohort</t>
  </si>
  <si>
    <t>Open an agent's profile page.</t>
  </si>
  <si>
    <t>The email is dark and readable; the cohort shows its NAME (not the raw id).</t>
  </si>
  <si>
    <t>Phase 1 — Definition of Done &amp; Sign-off</t>
  </si>
  <si>
    <t>Phase 1 is complete when all five success criteria pass and the pilot gate is met. Fill the yellow cells.</t>
  </si>
  <si>
    <t>Result summary (auto — from the Test Cases tab)</t>
  </si>
  <si>
    <t>Total test cases</t>
  </si>
  <si>
    <t>Passed</t>
  </si>
  <si>
    <t>Failed</t>
  </si>
  <si>
    <t>Blocked</t>
  </si>
  <si>
    <t>Not run</t>
  </si>
  <si>
    <t>Success criteria (all must be TRUE)</t>
  </si>
  <si>
    <t>Criterion</t>
  </si>
  <si>
    <t>Notes</t>
  </si>
  <si>
    <t>SC1 — A pilot agent gets D2-grounded, cited answers (never generic) on a mobile surface, in EN/BM/中文 with auto-detect. (see B1, B2, B14, A10)</t>
  </si>
  <si>
    <t>Not Tested</t>
  </si>
  <si>
    <t>SC2 — Upfront AI disclosure + 'talk to my coach' handoff with full context + a KB miss auto-escalates to the senior coach. (see B9, B10, B4)</t>
  </si>
  <si>
    <t>SC3 — A 2-day proactive nudge fires; after 48h it auto-escalates; visible as a stall alert on the coach dashboard. (see B7, B8, B13)</t>
  </si>
  <si>
    <t>SC4 — An admin can create/edit/version KB in plain language (no engineer) and the Coach can retrieve it. (see B11)</t>
  </si>
  <si>
    <t>SC5 — A senior coach sees only their own downline's stage + questions and can correct the AI inline. (see B13)</t>
  </si>
  <si>
    <t>Pilot gate (M-03) — 5–10 pilot agents onboarded; escalation flow rehearsed with seniors; admin trained on KB updates.</t>
  </si>
  <si>
    <t>Overall verdict (GO / NO-GO)</t>
  </si>
  <si>
    <t>Tester name</t>
  </si>
  <si>
    <t>Role</t>
  </si>
  <si>
    <t>Date</t>
  </si>
  <si>
    <t>Summary / blockers</t>
  </si>
  <si>
    <t>A New Agent (e.g. agent@web.com); a Senior Coach (coach@web.com) with that agent in their downline; an Admin (admin@web.com). Password same as email.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</si>
</sst>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5"/>
      <color rgb="FF1F2937"/>
      <name val="Arial"/>
    </font>
    <font>
      <sz val="10"/>
      <color rgb="FF4B5563"/>
      <name val="Arial"/>
    </font>
    <font>
      <b/>
      <sz val="11"/>
      <color rgb="FF1F2937"/>
      <name val="Arial"/>
    </font>
    <font>
      <sz val="10"/>
      <color rgb="FF374151"/>
      <name val="Arial"/>
    </font>
    <font>
      <b/>
      <sz val="10"/>
      <color rgb="FF111827"/>
      <name val="Arial"/>
    </font>
    <font>
      <b/>
      <sz val="9"/>
      <color rgb="FFFFFFFF"/>
      <name val="Arial"/>
    </font>
    <font>
      <sz val="9"/>
      <color rgb="FF374151"/>
      <name val="Arial"/>
    </font>
    <font>
      <b/>
      <sz val="10"/>
      <color rgb="FFFFFFFF"/>
      <name val="Arial"/>
    </font>
    <font>
      <b/>
      <sz val="9"/>
      <color rgb="FF111827"/>
      <name val="Arial"/>
    </font>
    <font>
      <sz val="9"/>
      <color rgb="FF92400E"/>
      <name val="Arial"/>
    </font>
    <font>
      <i/>
      <sz val="9"/>
      <color rgb="FF6B7280"/>
      <name val="Arial"/>
    </font>
    <font>
      <b/>
      <sz val="9"/>
      <color rgb="FFB91C1C"/>
      <name val="Arial"/>
    </font>
    <font>
      <i/>
      <sz val="9"/>
      <color rgb="FFB45309"/>
      <name val="Arial"/>
    </font>
    <font>
      <sz val="10"/>
      <color rgb="FF111827"/>
      <name val="Arial"/>
    </font>
    <font>
      <sz val="10"/>
      <color rgb="FF37415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F99D"/>
      </patternFill>
    </fill>
    <fill>
      <patternFill patternType="solid">
        <fgColor rgb="FF1F2937"/>
      </patternFill>
    </fill>
    <fill>
      <patternFill patternType="solid">
        <fgColor rgb="FFFFF9C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vertical="top" wrapText="1"/>
    </xf>
    <xf numFmtId="0" fontId="5" fillId="0" borderId="1" xfId="0" applyFont="1" applyBorder="1"/>
    <xf numFmtId="0" fontId="14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3" fillId="2" borderId="0" xfId="0" applyFont="1" applyFill="1"/>
    <xf numFmtId="0" fontId="0" fillId="0" borderId="0" xfId="0"/>
    <xf numFmtId="0" fontId="4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0" fillId="4" borderId="1" xfId="0" applyFill="1" applyBorder="1" applyAlignment="1">
      <alignment vertical="top" wrapText="1"/>
    </xf>
    <xf numFmtId="0" fontId="0" fillId="0" borderId="2" xfId="0" applyBorder="1"/>
    <xf numFmtId="0" fontId="1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tabSelected="1" topLeftCell="A6" workbookViewId="0">
      <selection activeCell="B10" sqref="B10"/>
    </sheetView>
  </sheetViews>
  <sheetFormatPr baseColWidth="10" defaultColWidth="8.83203125" defaultRowHeight="15" x14ac:dyDescent="0.2"/>
  <cols>
    <col min="1" max="1" width="26" customWidth="1"/>
    <col min="2" max="2" width="70" customWidth="1"/>
    <col min="3" max="3" width="32" customWidth="1"/>
    <col min="4" max="4" width="34" customWidth="1"/>
    <col min="5" max="5" width="12" customWidth="1"/>
    <col min="6" max="6" width="34" customWidth="1"/>
  </cols>
  <sheetData>
    <row r="1" spans="1:2" ht="19" x14ac:dyDescent="0.2">
      <c r="A1" s="1" t="s">
        <v>0</v>
      </c>
    </row>
    <row r="2" spans="1:2" x14ac:dyDescent="0.2">
      <c r="A2" s="2" t="s">
        <v>1</v>
      </c>
    </row>
    <row r="5" spans="1:2" x14ac:dyDescent="0.2">
      <c r="A5" s="23" t="s">
        <v>2</v>
      </c>
      <c r="B5" s="24"/>
    </row>
    <row r="6" spans="1:2" ht="60" customHeight="1" x14ac:dyDescent="0.2">
      <c r="A6" s="25" t="s">
        <v>3</v>
      </c>
      <c r="B6" s="24"/>
    </row>
    <row r="8" spans="1:2" x14ac:dyDescent="0.2">
      <c r="A8" s="23" t="s">
        <v>4</v>
      </c>
      <c r="B8" s="24"/>
    </row>
    <row r="9" spans="1:2" x14ac:dyDescent="0.2">
      <c r="A9" s="4" t="s">
        <v>5</v>
      </c>
      <c r="B9" s="3" t="s">
        <v>6</v>
      </c>
    </row>
    <row r="10" spans="1:2" ht="28" x14ac:dyDescent="0.2">
      <c r="A10" s="4" t="s">
        <v>7</v>
      </c>
      <c r="B10" s="30" t="s">
        <v>268</v>
      </c>
    </row>
    <row r="11" spans="1:2" ht="28" x14ac:dyDescent="0.2">
      <c r="A11" s="4" t="s">
        <v>8</v>
      </c>
      <c r="B11" s="3" t="s">
        <v>9</v>
      </c>
    </row>
    <row r="12" spans="1:2" x14ac:dyDescent="0.2">
      <c r="A12" s="4" t="s">
        <v>10</v>
      </c>
      <c r="B12" s="3" t="s">
        <v>11</v>
      </c>
    </row>
    <row r="13" spans="1:2" ht="28" x14ac:dyDescent="0.2">
      <c r="A13" s="4" t="s">
        <v>12</v>
      </c>
      <c r="B13" s="3" t="s">
        <v>13</v>
      </c>
    </row>
    <row r="14" spans="1:2" x14ac:dyDescent="0.2">
      <c r="A14" s="4" t="s">
        <v>14</v>
      </c>
      <c r="B14" s="3" t="s">
        <v>15</v>
      </c>
    </row>
    <row r="16" spans="1:2" x14ac:dyDescent="0.2">
      <c r="A16" s="23" t="s">
        <v>16</v>
      </c>
      <c r="B16" s="24"/>
    </row>
    <row r="17" spans="1:6" ht="28" x14ac:dyDescent="0.2">
      <c r="A17" s="4" t="s">
        <v>17</v>
      </c>
      <c r="B17" s="3" t="s">
        <v>18</v>
      </c>
    </row>
    <row r="18" spans="1:6" ht="28" x14ac:dyDescent="0.2">
      <c r="A18" s="4" t="s">
        <v>19</v>
      </c>
      <c r="B18" s="3" t="s">
        <v>20</v>
      </c>
    </row>
    <row r="19" spans="1:6" ht="28" x14ac:dyDescent="0.2">
      <c r="A19" s="4" t="s">
        <v>21</v>
      </c>
      <c r="B19" s="3" t="s">
        <v>22</v>
      </c>
    </row>
    <row r="20" spans="1:6" ht="28" x14ac:dyDescent="0.2">
      <c r="A20" s="4" t="s">
        <v>23</v>
      </c>
      <c r="B20" s="3" t="s">
        <v>24</v>
      </c>
    </row>
    <row r="21" spans="1:6" ht="28" x14ac:dyDescent="0.2">
      <c r="A21" s="4" t="s">
        <v>25</v>
      </c>
      <c r="B21" s="3" t="s">
        <v>26</v>
      </c>
    </row>
    <row r="23" spans="1:6" x14ac:dyDescent="0.2">
      <c r="A23" s="4" t="s">
        <v>27</v>
      </c>
      <c r="B23" s="3" t="s">
        <v>28</v>
      </c>
    </row>
    <row r="24" spans="1:6" x14ac:dyDescent="0.2">
      <c r="A24" s="4" t="s">
        <v>29</v>
      </c>
      <c r="B24" s="3" t="s">
        <v>30</v>
      </c>
    </row>
    <row r="26" spans="1:6" x14ac:dyDescent="0.2">
      <c r="A26" s="23" t="s">
        <v>31</v>
      </c>
      <c r="B26" s="24"/>
    </row>
    <row r="27" spans="1:6" x14ac:dyDescent="0.2">
      <c r="A27" s="5" t="s">
        <v>32</v>
      </c>
      <c r="B27" s="5" t="s">
        <v>33</v>
      </c>
      <c r="C27" s="5" t="s">
        <v>34</v>
      </c>
      <c r="D27" s="5" t="s">
        <v>35</v>
      </c>
      <c r="E27" s="5" t="s">
        <v>36</v>
      </c>
      <c r="F27" s="5" t="s">
        <v>37</v>
      </c>
    </row>
    <row r="28" spans="1:6" ht="45" customHeight="1" x14ac:dyDescent="0.2">
      <c r="A28" s="6" t="s">
        <v>38</v>
      </c>
      <c r="B28" s="6" t="s">
        <v>39</v>
      </c>
      <c r="C28" s="6" t="s">
        <v>40</v>
      </c>
      <c r="D28" s="6" t="s">
        <v>41</v>
      </c>
      <c r="E28" s="7" t="s">
        <v>42</v>
      </c>
      <c r="F28" s="7" t="s">
        <v>43</v>
      </c>
    </row>
  </sheetData>
  <mergeCells count="5">
    <mergeCell ref="A26:B26"/>
    <mergeCell ref="A16:B16"/>
    <mergeCell ref="A5:B5"/>
    <mergeCell ref="A8:B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7" customWidth="1"/>
    <col min="2" max="2" width="16" customWidth="1"/>
    <col min="3" max="3" width="26" customWidth="1"/>
    <col min="4" max="4" width="9" customWidth="1"/>
    <col min="5" max="5" width="24" customWidth="1"/>
    <col min="6" max="6" width="40" customWidth="1"/>
    <col min="7" max="7" width="44" customWidth="1"/>
    <col min="8" max="8" width="12" customWidth="1"/>
    <col min="9" max="9" width="30" customWidth="1"/>
    <col min="10" max="10" width="34" customWidth="1"/>
  </cols>
  <sheetData>
    <row r="1" spans="1:10" ht="28" customHeight="1" x14ac:dyDescent="0.2">
      <c r="A1" s="8" t="s">
        <v>32</v>
      </c>
      <c r="B1" s="9" t="s">
        <v>44</v>
      </c>
      <c r="C1" s="9" t="s">
        <v>33</v>
      </c>
      <c r="D1" s="8" t="s">
        <v>27</v>
      </c>
      <c r="E1" s="9" t="s">
        <v>45</v>
      </c>
      <c r="F1" s="9" t="s">
        <v>34</v>
      </c>
      <c r="G1" s="9" t="s">
        <v>35</v>
      </c>
      <c r="H1" s="8" t="s">
        <v>36</v>
      </c>
      <c r="I1" s="9" t="s">
        <v>37</v>
      </c>
      <c r="J1" s="9" t="s">
        <v>46</v>
      </c>
    </row>
    <row r="2" spans="1:10" ht="22" customHeight="1" x14ac:dyDescent="0.2">
      <c r="A2" s="26" t="s">
        <v>47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39" x14ac:dyDescent="0.2">
      <c r="A3" s="10" t="s">
        <v>48</v>
      </c>
      <c r="B3" s="6" t="s">
        <v>49</v>
      </c>
      <c r="C3" s="6" t="s">
        <v>50</v>
      </c>
      <c r="D3" s="11" t="s">
        <v>51</v>
      </c>
      <c r="E3" s="6" t="s">
        <v>52</v>
      </c>
      <c r="F3" s="6" t="s">
        <v>53</v>
      </c>
      <c r="G3" s="6" t="s">
        <v>54</v>
      </c>
      <c r="H3" s="12" t="s">
        <v>55</v>
      </c>
      <c r="I3" s="7"/>
      <c r="J3" s="13"/>
    </row>
    <row r="4" spans="1:10" ht="39" x14ac:dyDescent="0.2">
      <c r="A4" s="10" t="s">
        <v>56</v>
      </c>
      <c r="B4" s="6" t="s">
        <v>57</v>
      </c>
      <c r="C4" s="6" t="s">
        <v>58</v>
      </c>
      <c r="D4" s="11" t="s">
        <v>51</v>
      </c>
      <c r="E4" s="6" t="s">
        <v>59</v>
      </c>
      <c r="F4" s="6" t="s">
        <v>60</v>
      </c>
      <c r="G4" s="6" t="s">
        <v>61</v>
      </c>
      <c r="H4" s="12" t="s">
        <v>55</v>
      </c>
      <c r="I4" s="7"/>
      <c r="J4" s="13"/>
    </row>
    <row r="5" spans="1:10" ht="39" x14ac:dyDescent="0.2">
      <c r="A5" s="10" t="s">
        <v>62</v>
      </c>
      <c r="B5" s="6" t="s">
        <v>63</v>
      </c>
      <c r="C5" s="6" t="s">
        <v>64</v>
      </c>
      <c r="D5" s="11" t="s">
        <v>51</v>
      </c>
      <c r="E5" s="6" t="s">
        <v>65</v>
      </c>
      <c r="F5" s="6" t="s">
        <v>66</v>
      </c>
      <c r="G5" s="6" t="s">
        <v>67</v>
      </c>
      <c r="H5" s="12" t="s">
        <v>55</v>
      </c>
      <c r="I5" s="7"/>
      <c r="J5" s="13"/>
    </row>
    <row r="6" spans="1:10" ht="26" x14ac:dyDescent="0.2">
      <c r="A6" s="10" t="s">
        <v>68</v>
      </c>
      <c r="B6" s="6" t="s">
        <v>63</v>
      </c>
      <c r="C6" s="6" t="s">
        <v>69</v>
      </c>
      <c r="D6" s="14" t="s">
        <v>70</v>
      </c>
      <c r="E6" s="6" t="s">
        <v>71</v>
      </c>
      <c r="F6" s="6" t="s">
        <v>72</v>
      </c>
      <c r="G6" s="6" t="s">
        <v>73</v>
      </c>
      <c r="H6" s="12" t="s">
        <v>55</v>
      </c>
      <c r="I6" s="7"/>
      <c r="J6" s="13"/>
    </row>
    <row r="7" spans="1:10" ht="26" x14ac:dyDescent="0.2">
      <c r="A7" s="10" t="s">
        <v>74</v>
      </c>
      <c r="B7" s="6" t="s">
        <v>75</v>
      </c>
      <c r="C7" s="6" t="s">
        <v>76</v>
      </c>
      <c r="D7" s="11" t="s">
        <v>51</v>
      </c>
      <c r="E7" s="6" t="s">
        <v>71</v>
      </c>
      <c r="F7" s="6" t="s">
        <v>77</v>
      </c>
      <c r="G7" s="6" t="s">
        <v>78</v>
      </c>
      <c r="H7" s="12" t="s">
        <v>55</v>
      </c>
      <c r="I7" s="7"/>
      <c r="J7" s="13"/>
    </row>
    <row r="8" spans="1:10" ht="26" x14ac:dyDescent="0.2">
      <c r="A8" s="10" t="s">
        <v>79</v>
      </c>
      <c r="B8" s="6" t="s">
        <v>75</v>
      </c>
      <c r="C8" s="6" t="s">
        <v>80</v>
      </c>
      <c r="D8" s="14" t="s">
        <v>70</v>
      </c>
      <c r="E8" s="6" t="s">
        <v>81</v>
      </c>
      <c r="F8" s="6" t="s">
        <v>82</v>
      </c>
      <c r="G8" s="6" t="s">
        <v>83</v>
      </c>
      <c r="H8" s="12" t="s">
        <v>55</v>
      </c>
      <c r="I8" s="7"/>
      <c r="J8" s="13"/>
    </row>
    <row r="9" spans="1:10" ht="26" x14ac:dyDescent="0.2">
      <c r="A9" s="10" t="s">
        <v>84</v>
      </c>
      <c r="B9" s="6" t="s">
        <v>75</v>
      </c>
      <c r="C9" s="6" t="s">
        <v>85</v>
      </c>
      <c r="D9" s="11" t="s">
        <v>51</v>
      </c>
      <c r="E9" s="6" t="s">
        <v>86</v>
      </c>
      <c r="F9" s="6" t="s">
        <v>87</v>
      </c>
      <c r="G9" s="6" t="s">
        <v>88</v>
      </c>
      <c r="H9" s="12" t="s">
        <v>55</v>
      </c>
      <c r="I9" s="7"/>
      <c r="J9" s="13"/>
    </row>
    <row r="10" spans="1:10" ht="26" x14ac:dyDescent="0.2">
      <c r="A10" s="10" t="s">
        <v>89</v>
      </c>
      <c r="B10" s="6" t="s">
        <v>75</v>
      </c>
      <c r="C10" s="6" t="s">
        <v>90</v>
      </c>
      <c r="D10" s="11" t="s">
        <v>51</v>
      </c>
      <c r="E10" s="6" t="s">
        <v>86</v>
      </c>
      <c r="F10" s="6" t="s">
        <v>91</v>
      </c>
      <c r="G10" s="6" t="s">
        <v>92</v>
      </c>
      <c r="H10" s="12" t="s">
        <v>55</v>
      </c>
      <c r="I10" s="7"/>
      <c r="J10" s="13"/>
    </row>
    <row r="11" spans="1:10" ht="26" x14ac:dyDescent="0.2">
      <c r="A11" s="10" t="s">
        <v>93</v>
      </c>
      <c r="B11" s="6" t="s">
        <v>94</v>
      </c>
      <c r="C11" s="6" t="s">
        <v>95</v>
      </c>
      <c r="D11" s="11" t="s">
        <v>51</v>
      </c>
      <c r="E11" s="6" t="s">
        <v>86</v>
      </c>
      <c r="F11" s="6" t="s">
        <v>96</v>
      </c>
      <c r="G11" s="6" t="s">
        <v>97</v>
      </c>
      <c r="H11" s="12" t="s">
        <v>55</v>
      </c>
      <c r="I11" s="7"/>
      <c r="J11" s="13"/>
    </row>
    <row r="12" spans="1:10" ht="26" x14ac:dyDescent="0.2">
      <c r="A12" s="10" t="s">
        <v>98</v>
      </c>
      <c r="B12" s="6" t="s">
        <v>99</v>
      </c>
      <c r="C12" s="6" t="s">
        <v>100</v>
      </c>
      <c r="D12" s="15" t="s">
        <v>101</v>
      </c>
      <c r="E12" s="6" t="s">
        <v>102</v>
      </c>
      <c r="F12" s="6" t="s">
        <v>103</v>
      </c>
      <c r="G12" s="6" t="s">
        <v>104</v>
      </c>
      <c r="H12" s="12" t="s">
        <v>55</v>
      </c>
      <c r="I12" s="7"/>
      <c r="J12" s="13"/>
    </row>
    <row r="13" spans="1:10" ht="26" x14ac:dyDescent="0.2">
      <c r="A13" s="10" t="s">
        <v>105</v>
      </c>
      <c r="B13" s="6" t="s">
        <v>106</v>
      </c>
      <c r="C13" s="6" t="s">
        <v>107</v>
      </c>
      <c r="D13" s="11" t="s">
        <v>51</v>
      </c>
      <c r="E13" s="6" t="s">
        <v>108</v>
      </c>
      <c r="F13" s="6" t="s">
        <v>109</v>
      </c>
      <c r="G13" s="6" t="s">
        <v>110</v>
      </c>
      <c r="H13" s="12" t="s">
        <v>55</v>
      </c>
      <c r="I13" s="7"/>
      <c r="J13" s="13"/>
    </row>
    <row r="14" spans="1:10" ht="26" x14ac:dyDescent="0.2">
      <c r="A14" s="10" t="s">
        <v>111</v>
      </c>
      <c r="B14" s="6" t="s">
        <v>112</v>
      </c>
      <c r="C14" s="6" t="s">
        <v>113</v>
      </c>
      <c r="D14" s="11" t="s">
        <v>51</v>
      </c>
      <c r="E14" s="6" t="s">
        <v>114</v>
      </c>
      <c r="F14" s="6" t="s">
        <v>115</v>
      </c>
      <c r="G14" s="6" t="s">
        <v>116</v>
      </c>
      <c r="H14" s="12" t="s">
        <v>55</v>
      </c>
      <c r="I14" s="7"/>
      <c r="J14" s="13"/>
    </row>
    <row r="15" spans="1:10" ht="26" x14ac:dyDescent="0.2">
      <c r="A15" s="10" t="s">
        <v>117</v>
      </c>
      <c r="B15" s="6" t="s">
        <v>112</v>
      </c>
      <c r="C15" s="6" t="s">
        <v>118</v>
      </c>
      <c r="D15" s="14" t="s">
        <v>70</v>
      </c>
      <c r="E15" s="6" t="s">
        <v>119</v>
      </c>
      <c r="F15" s="6" t="s">
        <v>120</v>
      </c>
      <c r="G15" s="6" t="s">
        <v>121</v>
      </c>
      <c r="H15" s="12" t="s">
        <v>55</v>
      </c>
      <c r="I15" s="7"/>
      <c r="J15" s="13"/>
    </row>
    <row r="16" spans="1:10" ht="22" customHeight="1" x14ac:dyDescent="0.2">
      <c r="A16" s="26" t="s">
        <v>122</v>
      </c>
      <c r="B16" s="27"/>
      <c r="C16" s="27"/>
      <c r="D16" s="27"/>
      <c r="E16" s="27"/>
      <c r="F16" s="27"/>
      <c r="G16" s="27"/>
      <c r="H16" s="27"/>
      <c r="I16" s="27"/>
      <c r="J16" s="27"/>
    </row>
    <row r="17" spans="1:10" ht="26" x14ac:dyDescent="0.2">
      <c r="A17" s="10" t="s">
        <v>123</v>
      </c>
      <c r="B17" s="6" t="s">
        <v>124</v>
      </c>
      <c r="C17" s="6" t="s">
        <v>125</v>
      </c>
      <c r="D17" s="15" t="s">
        <v>101</v>
      </c>
      <c r="E17" s="6" t="s">
        <v>114</v>
      </c>
      <c r="F17" s="6" t="s">
        <v>126</v>
      </c>
      <c r="G17" s="6" t="s">
        <v>127</v>
      </c>
      <c r="H17" s="12" t="s">
        <v>55</v>
      </c>
      <c r="I17" s="7"/>
      <c r="J17" s="13"/>
    </row>
    <row r="18" spans="1:10" ht="26" x14ac:dyDescent="0.2">
      <c r="A18" s="10" t="s">
        <v>128</v>
      </c>
      <c r="B18" s="6" t="s">
        <v>129</v>
      </c>
      <c r="C18" s="6" t="s">
        <v>130</v>
      </c>
      <c r="D18" s="15" t="s">
        <v>101</v>
      </c>
      <c r="E18" s="6" t="s">
        <v>131</v>
      </c>
      <c r="F18" s="6" t="s">
        <v>132</v>
      </c>
      <c r="G18" s="6" t="s">
        <v>133</v>
      </c>
      <c r="H18" s="12" t="s">
        <v>55</v>
      </c>
      <c r="I18" s="7"/>
      <c r="J18" s="13"/>
    </row>
    <row r="19" spans="1:10" ht="39" x14ac:dyDescent="0.2">
      <c r="A19" s="10" t="s">
        <v>134</v>
      </c>
      <c r="B19" s="6" t="s">
        <v>135</v>
      </c>
      <c r="C19" s="6" t="s">
        <v>136</v>
      </c>
      <c r="D19" s="11" t="s">
        <v>51</v>
      </c>
      <c r="E19" s="6" t="s">
        <v>114</v>
      </c>
      <c r="F19" s="6" t="s">
        <v>137</v>
      </c>
      <c r="G19" s="6" t="s">
        <v>138</v>
      </c>
      <c r="H19" s="12" t="s">
        <v>55</v>
      </c>
      <c r="I19" s="7"/>
      <c r="J19" s="13" t="s">
        <v>139</v>
      </c>
    </row>
    <row r="20" spans="1:10" ht="39" x14ac:dyDescent="0.2">
      <c r="A20" s="10" t="s">
        <v>140</v>
      </c>
      <c r="B20" s="6" t="s">
        <v>141</v>
      </c>
      <c r="C20" s="6" t="s">
        <v>142</v>
      </c>
      <c r="D20" s="11" t="s">
        <v>51</v>
      </c>
      <c r="E20" s="6" t="s">
        <v>143</v>
      </c>
      <c r="F20" s="6" t="s">
        <v>144</v>
      </c>
      <c r="G20" s="6" t="s">
        <v>145</v>
      </c>
      <c r="H20" s="12" t="s">
        <v>55</v>
      </c>
      <c r="I20" s="7"/>
      <c r="J20" s="16" t="s">
        <v>146</v>
      </c>
    </row>
    <row r="21" spans="1:10" ht="39" x14ac:dyDescent="0.2">
      <c r="A21" s="10" t="s">
        <v>147</v>
      </c>
      <c r="B21" s="6" t="s">
        <v>148</v>
      </c>
      <c r="C21" s="6" t="s">
        <v>149</v>
      </c>
      <c r="D21" s="11" t="s">
        <v>51</v>
      </c>
      <c r="E21" s="6" t="s">
        <v>150</v>
      </c>
      <c r="F21" s="6" t="s">
        <v>151</v>
      </c>
      <c r="G21" s="6" t="s">
        <v>152</v>
      </c>
      <c r="H21" s="12" t="s">
        <v>55</v>
      </c>
      <c r="I21" s="7"/>
      <c r="J21" s="16" t="s">
        <v>153</v>
      </c>
    </row>
    <row r="22" spans="1:10" ht="26" x14ac:dyDescent="0.2">
      <c r="A22" s="10" t="s">
        <v>154</v>
      </c>
      <c r="B22" s="6" t="s">
        <v>148</v>
      </c>
      <c r="C22" s="6" t="s">
        <v>155</v>
      </c>
      <c r="D22" s="11" t="s">
        <v>51</v>
      </c>
      <c r="E22" s="6" t="s">
        <v>156</v>
      </c>
      <c r="F22" s="6" t="s">
        <v>157</v>
      </c>
      <c r="G22" s="6" t="s">
        <v>158</v>
      </c>
      <c r="H22" s="12" t="s">
        <v>55</v>
      </c>
      <c r="I22" s="7"/>
      <c r="J22" s="16" t="s">
        <v>159</v>
      </c>
    </row>
    <row r="23" spans="1:10" ht="39" x14ac:dyDescent="0.2">
      <c r="A23" s="10" t="s">
        <v>160</v>
      </c>
      <c r="B23" s="6" t="s">
        <v>161</v>
      </c>
      <c r="C23" s="6" t="s">
        <v>162</v>
      </c>
      <c r="D23" s="11" t="s">
        <v>51</v>
      </c>
      <c r="E23" s="6" t="s">
        <v>163</v>
      </c>
      <c r="F23" s="6" t="s">
        <v>164</v>
      </c>
      <c r="G23" s="6" t="s">
        <v>165</v>
      </c>
      <c r="H23" s="12" t="s">
        <v>55</v>
      </c>
      <c r="I23" s="7"/>
      <c r="J23" s="16" t="s">
        <v>166</v>
      </c>
    </row>
    <row r="24" spans="1:10" ht="26" x14ac:dyDescent="0.2">
      <c r="A24" s="10" t="s">
        <v>167</v>
      </c>
      <c r="B24" s="6" t="s">
        <v>161</v>
      </c>
      <c r="C24" s="6" t="s">
        <v>168</v>
      </c>
      <c r="D24" s="11" t="s">
        <v>51</v>
      </c>
      <c r="E24" s="6" t="s">
        <v>169</v>
      </c>
      <c r="F24" s="6" t="s">
        <v>170</v>
      </c>
      <c r="G24" s="6" t="s">
        <v>171</v>
      </c>
      <c r="H24" s="12" t="s">
        <v>55</v>
      </c>
      <c r="I24" s="7"/>
      <c r="J24" s="16" t="s">
        <v>172</v>
      </c>
    </row>
    <row r="25" spans="1:10" ht="26" x14ac:dyDescent="0.2">
      <c r="A25" s="10" t="s">
        <v>38</v>
      </c>
      <c r="B25" s="6" t="s">
        <v>173</v>
      </c>
      <c r="C25" s="6" t="s">
        <v>39</v>
      </c>
      <c r="D25" s="15" t="s">
        <v>101</v>
      </c>
      <c r="E25" s="6" t="s">
        <v>174</v>
      </c>
      <c r="F25" s="6" t="s">
        <v>175</v>
      </c>
      <c r="G25" s="6" t="s">
        <v>176</v>
      </c>
      <c r="H25" s="12" t="s">
        <v>55</v>
      </c>
      <c r="I25" s="7"/>
      <c r="J25" s="13"/>
    </row>
    <row r="26" spans="1:10" ht="26" x14ac:dyDescent="0.2">
      <c r="A26" s="10" t="s">
        <v>177</v>
      </c>
      <c r="B26" s="6" t="s">
        <v>178</v>
      </c>
      <c r="C26" s="6" t="s">
        <v>179</v>
      </c>
      <c r="D26" s="11" t="s">
        <v>51</v>
      </c>
      <c r="E26" s="6" t="s">
        <v>86</v>
      </c>
      <c r="F26" s="6" t="s">
        <v>180</v>
      </c>
      <c r="G26" s="6" t="s">
        <v>181</v>
      </c>
      <c r="H26" s="12" t="s">
        <v>55</v>
      </c>
      <c r="I26" s="7"/>
      <c r="J26" s="13"/>
    </row>
    <row r="27" spans="1:10" ht="26" x14ac:dyDescent="0.2">
      <c r="A27" s="10" t="s">
        <v>182</v>
      </c>
      <c r="B27" s="6" t="s">
        <v>183</v>
      </c>
      <c r="C27" s="6" t="s">
        <v>184</v>
      </c>
      <c r="D27" s="15" t="s">
        <v>101</v>
      </c>
      <c r="E27" s="6" t="s">
        <v>185</v>
      </c>
      <c r="F27" s="6" t="s">
        <v>186</v>
      </c>
      <c r="G27" s="6" t="s">
        <v>187</v>
      </c>
      <c r="H27" s="12" t="s">
        <v>55</v>
      </c>
      <c r="I27" s="7"/>
      <c r="J27" s="13"/>
    </row>
    <row r="28" spans="1:10" ht="26" x14ac:dyDescent="0.2">
      <c r="A28" s="10" t="s">
        <v>188</v>
      </c>
      <c r="B28" s="6" t="s">
        <v>189</v>
      </c>
      <c r="C28" s="6" t="s">
        <v>190</v>
      </c>
      <c r="D28" s="11" t="s">
        <v>51</v>
      </c>
      <c r="E28" s="6" t="s">
        <v>185</v>
      </c>
      <c r="F28" s="6" t="s">
        <v>191</v>
      </c>
      <c r="G28" s="6" t="s">
        <v>192</v>
      </c>
      <c r="H28" s="12" t="s">
        <v>55</v>
      </c>
      <c r="I28" s="7"/>
      <c r="J28" s="13"/>
    </row>
    <row r="29" spans="1:10" ht="26" x14ac:dyDescent="0.2">
      <c r="A29" s="10" t="s">
        <v>193</v>
      </c>
      <c r="B29" s="6" t="s">
        <v>194</v>
      </c>
      <c r="C29" s="6" t="s">
        <v>195</v>
      </c>
      <c r="D29" s="15" t="s">
        <v>101</v>
      </c>
      <c r="E29" s="6" t="s">
        <v>196</v>
      </c>
      <c r="F29" s="6" t="s">
        <v>197</v>
      </c>
      <c r="G29" s="6" t="s">
        <v>198</v>
      </c>
      <c r="H29" s="12" t="s">
        <v>55</v>
      </c>
      <c r="I29" s="7"/>
      <c r="J29" s="13"/>
    </row>
    <row r="30" spans="1:10" ht="26" x14ac:dyDescent="0.2">
      <c r="A30" s="10" t="s">
        <v>199</v>
      </c>
      <c r="B30" s="6" t="s">
        <v>200</v>
      </c>
      <c r="C30" s="6" t="s">
        <v>201</v>
      </c>
      <c r="D30" s="15" t="s">
        <v>101</v>
      </c>
      <c r="E30" s="6" t="s">
        <v>202</v>
      </c>
      <c r="F30" s="6" t="s">
        <v>203</v>
      </c>
      <c r="G30" s="6" t="s">
        <v>204</v>
      </c>
      <c r="H30" s="12" t="s">
        <v>55</v>
      </c>
      <c r="I30" s="7"/>
      <c r="J30" s="13"/>
    </row>
    <row r="31" spans="1:10" ht="26" x14ac:dyDescent="0.2">
      <c r="A31" s="10" t="s">
        <v>205</v>
      </c>
      <c r="B31" s="6" t="s">
        <v>206</v>
      </c>
      <c r="C31" s="6" t="s">
        <v>207</v>
      </c>
      <c r="D31" s="11" t="s">
        <v>51</v>
      </c>
      <c r="E31" s="6" t="s">
        <v>108</v>
      </c>
      <c r="F31" s="6" t="s">
        <v>208</v>
      </c>
      <c r="G31" s="6" t="s">
        <v>209</v>
      </c>
      <c r="H31" s="12" t="s">
        <v>55</v>
      </c>
      <c r="I31" s="7"/>
      <c r="J31" s="13"/>
    </row>
    <row r="32" spans="1:10" ht="26" x14ac:dyDescent="0.2">
      <c r="A32" s="10" t="s">
        <v>210</v>
      </c>
      <c r="B32" s="6" t="s">
        <v>211</v>
      </c>
      <c r="C32" s="6" t="s">
        <v>212</v>
      </c>
      <c r="D32" s="11" t="s">
        <v>51</v>
      </c>
      <c r="E32" s="6" t="s">
        <v>185</v>
      </c>
      <c r="F32" s="6" t="s">
        <v>213</v>
      </c>
      <c r="G32" s="6" t="s">
        <v>214</v>
      </c>
      <c r="H32" s="12" t="s">
        <v>55</v>
      </c>
      <c r="I32" s="7"/>
      <c r="J32" s="13"/>
    </row>
    <row r="33" spans="1:10" ht="26" x14ac:dyDescent="0.2">
      <c r="A33" s="10" t="s">
        <v>215</v>
      </c>
      <c r="B33" s="6" t="s">
        <v>216</v>
      </c>
      <c r="C33" s="6" t="s">
        <v>217</v>
      </c>
      <c r="D33" s="15" t="s">
        <v>101</v>
      </c>
      <c r="E33" s="6" t="s">
        <v>108</v>
      </c>
      <c r="F33" s="6" t="s">
        <v>218</v>
      </c>
      <c r="G33" s="6" t="s">
        <v>219</v>
      </c>
      <c r="H33" s="12" t="s">
        <v>55</v>
      </c>
      <c r="I33" s="7"/>
      <c r="J33" s="13"/>
    </row>
    <row r="34" spans="1:10" ht="22" customHeight="1" x14ac:dyDescent="0.2">
      <c r="A34" s="26" t="s">
        <v>220</v>
      </c>
      <c r="B34" s="27"/>
      <c r="C34" s="27"/>
      <c r="D34" s="27"/>
      <c r="E34" s="27"/>
      <c r="F34" s="27"/>
      <c r="G34" s="27"/>
      <c r="H34" s="27"/>
      <c r="I34" s="27"/>
      <c r="J34" s="27"/>
    </row>
    <row r="35" spans="1:10" ht="26" x14ac:dyDescent="0.2">
      <c r="A35" s="10" t="s">
        <v>221</v>
      </c>
      <c r="B35" s="6" t="s">
        <v>222</v>
      </c>
      <c r="C35" s="6" t="s">
        <v>223</v>
      </c>
      <c r="D35" s="14" t="s">
        <v>70</v>
      </c>
      <c r="E35" s="6" t="s">
        <v>185</v>
      </c>
      <c r="F35" s="6" t="s">
        <v>224</v>
      </c>
      <c r="G35" s="6" t="s">
        <v>225</v>
      </c>
      <c r="H35" s="12" t="s">
        <v>55</v>
      </c>
      <c r="I35" s="7"/>
      <c r="J35" s="13" t="s">
        <v>139</v>
      </c>
    </row>
    <row r="36" spans="1:10" ht="26" x14ac:dyDescent="0.2">
      <c r="A36" s="10" t="s">
        <v>226</v>
      </c>
      <c r="B36" s="6" t="s">
        <v>227</v>
      </c>
      <c r="C36" s="6" t="s">
        <v>228</v>
      </c>
      <c r="D36" s="11" t="s">
        <v>51</v>
      </c>
      <c r="E36" s="6" t="s">
        <v>229</v>
      </c>
      <c r="F36" s="6" t="s">
        <v>230</v>
      </c>
      <c r="G36" s="6" t="s">
        <v>231</v>
      </c>
      <c r="H36" s="12" t="s">
        <v>55</v>
      </c>
      <c r="I36" s="7"/>
      <c r="J36" s="13" t="s">
        <v>139</v>
      </c>
    </row>
    <row r="37" spans="1:10" ht="26" x14ac:dyDescent="0.2">
      <c r="A37" s="10" t="s">
        <v>232</v>
      </c>
      <c r="B37" s="6" t="s">
        <v>233</v>
      </c>
      <c r="C37" s="6" t="s">
        <v>234</v>
      </c>
      <c r="D37" s="11" t="s">
        <v>51</v>
      </c>
      <c r="E37" s="6" t="s">
        <v>235</v>
      </c>
      <c r="F37" s="6" t="s">
        <v>236</v>
      </c>
      <c r="G37" s="6" t="s">
        <v>237</v>
      </c>
      <c r="H37" s="12" t="s">
        <v>55</v>
      </c>
      <c r="I37" s="7"/>
      <c r="J37" s="13" t="s">
        <v>238</v>
      </c>
    </row>
    <row r="38" spans="1:10" ht="26" x14ac:dyDescent="0.2">
      <c r="A38" s="10" t="s">
        <v>239</v>
      </c>
      <c r="B38" s="6" t="s">
        <v>240</v>
      </c>
      <c r="C38" s="6" t="s">
        <v>241</v>
      </c>
      <c r="D38" s="14" t="s">
        <v>70</v>
      </c>
      <c r="E38" s="6" t="s">
        <v>242</v>
      </c>
      <c r="F38" s="6" t="s">
        <v>243</v>
      </c>
      <c r="G38" s="6" t="s">
        <v>244</v>
      </c>
      <c r="H38" s="12" t="s">
        <v>55</v>
      </c>
      <c r="I38" s="7"/>
      <c r="J38" s="13" t="s">
        <v>139</v>
      </c>
    </row>
  </sheetData>
  <mergeCells count="3">
    <mergeCell ref="A34:J34"/>
    <mergeCell ref="A16:J16"/>
    <mergeCell ref="A2:J2"/>
  </mergeCells>
  <dataValidations count="1">
    <dataValidation type="list" allowBlank="1" sqref="H3 H4 H5 H6 H7 H8 H9 H10 H11 H12 H13 H14 H15 H17 H18 H19 H20 H21 H22 H23 H24 H25 H26 H27 H28 H29 H30 H31 H32 H33 H35 H36 H37 H38" xr:uid="{00000000-0002-0000-0100-000000000000}">
      <formula1>"Pass,Fail,Blocked,Not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4"/>
  <sheetViews>
    <sheetView showGridLines="0" workbookViewId="0"/>
  </sheetViews>
  <sheetFormatPr baseColWidth="10" defaultColWidth="8.83203125" defaultRowHeight="15" x14ac:dyDescent="0.2"/>
  <cols>
    <col min="1" max="1" width="78" customWidth="1"/>
    <col min="2" max="2" width="16" customWidth="1"/>
    <col min="3" max="3" width="40" customWidth="1"/>
  </cols>
  <sheetData>
    <row r="1" spans="1:3" ht="19" x14ac:dyDescent="0.2">
      <c r="A1" s="1" t="s">
        <v>245</v>
      </c>
    </row>
    <row r="2" spans="1:3" x14ac:dyDescent="0.2">
      <c r="A2" s="2" t="s">
        <v>246</v>
      </c>
    </row>
    <row r="4" spans="1:3" x14ac:dyDescent="0.2">
      <c r="A4" s="23" t="s">
        <v>247</v>
      </c>
      <c r="B4" s="24"/>
      <c r="C4" s="24"/>
    </row>
    <row r="5" spans="1:3" x14ac:dyDescent="0.2">
      <c r="A5" s="17" t="s">
        <v>248</v>
      </c>
      <c r="B5" s="18">
        <f>COUNTIF('Test Cases'!$H$2:$H$38,"Pass")+COUNTIF('Test Cases'!$H$2:$H$38,"Fail")+COUNTIF('Test Cases'!$H$2:$H$38,"Blocked")+COUNTIF('Test Cases'!$H$2:$H$38,"Not Run")</f>
        <v>34</v>
      </c>
    </row>
    <row r="6" spans="1:3" x14ac:dyDescent="0.2">
      <c r="A6" s="17" t="s">
        <v>249</v>
      </c>
      <c r="B6" s="18">
        <f>COUNTIF('Test Cases'!$H$2:$H$38,"Pass")</f>
        <v>0</v>
      </c>
    </row>
    <row r="7" spans="1:3" x14ac:dyDescent="0.2">
      <c r="A7" s="17" t="s">
        <v>250</v>
      </c>
      <c r="B7" s="18">
        <f>COUNTIF('Test Cases'!$H$2:$H$38,"Fail")</f>
        <v>0</v>
      </c>
    </row>
    <row r="8" spans="1:3" x14ac:dyDescent="0.2">
      <c r="A8" s="17" t="s">
        <v>251</v>
      </c>
      <c r="B8" s="18">
        <f>COUNTIF('Test Cases'!$H$2:$H$38,"Blocked")</f>
        <v>0</v>
      </c>
    </row>
    <row r="9" spans="1:3" x14ac:dyDescent="0.2">
      <c r="A9" s="17" t="s">
        <v>252</v>
      </c>
      <c r="B9" s="18">
        <f>COUNTIF('Test Cases'!$H$2:$H$38,"Not Run")</f>
        <v>34</v>
      </c>
    </row>
    <row r="11" spans="1:3" x14ac:dyDescent="0.2">
      <c r="A11" s="23" t="s">
        <v>253</v>
      </c>
      <c r="B11" s="24"/>
      <c r="C11" s="24"/>
    </row>
    <row r="12" spans="1:3" x14ac:dyDescent="0.2">
      <c r="A12" s="19" t="s">
        <v>254</v>
      </c>
      <c r="B12" s="20" t="s">
        <v>36</v>
      </c>
      <c r="C12" s="20" t="s">
        <v>255</v>
      </c>
    </row>
    <row r="13" spans="1:3" ht="42" customHeight="1" x14ac:dyDescent="0.2">
      <c r="A13" s="6" t="s">
        <v>256</v>
      </c>
      <c r="B13" s="21" t="s">
        <v>257</v>
      </c>
      <c r="C13" s="22"/>
    </row>
    <row r="14" spans="1:3" ht="42" customHeight="1" x14ac:dyDescent="0.2">
      <c r="A14" s="6" t="s">
        <v>258</v>
      </c>
      <c r="B14" s="21" t="s">
        <v>257</v>
      </c>
      <c r="C14" s="22"/>
    </row>
    <row r="15" spans="1:3" ht="42" customHeight="1" x14ac:dyDescent="0.2">
      <c r="A15" s="6" t="s">
        <v>259</v>
      </c>
      <c r="B15" s="21" t="s">
        <v>257</v>
      </c>
      <c r="C15" s="22"/>
    </row>
    <row r="16" spans="1:3" ht="42" customHeight="1" x14ac:dyDescent="0.2">
      <c r="A16" s="6" t="s">
        <v>260</v>
      </c>
      <c r="B16" s="21" t="s">
        <v>257</v>
      </c>
      <c r="C16" s="22"/>
    </row>
    <row r="17" spans="1:3" ht="42" customHeight="1" x14ac:dyDescent="0.2">
      <c r="A17" s="6" t="s">
        <v>261</v>
      </c>
      <c r="B17" s="21" t="s">
        <v>257</v>
      </c>
      <c r="C17" s="22"/>
    </row>
    <row r="18" spans="1:3" ht="42" customHeight="1" x14ac:dyDescent="0.2">
      <c r="A18" s="6" t="s">
        <v>262</v>
      </c>
      <c r="B18" s="21" t="s">
        <v>257</v>
      </c>
      <c r="C18" s="22"/>
    </row>
    <row r="20" spans="1:3" x14ac:dyDescent="0.2">
      <c r="A20" s="17" t="s">
        <v>263</v>
      </c>
      <c r="B20" s="28"/>
      <c r="C20" s="29"/>
    </row>
    <row r="21" spans="1:3" x14ac:dyDescent="0.2">
      <c r="A21" s="17" t="s">
        <v>264</v>
      </c>
      <c r="B21" s="28"/>
      <c r="C21" s="29"/>
    </row>
    <row r="22" spans="1:3" x14ac:dyDescent="0.2">
      <c r="A22" s="17" t="s">
        <v>265</v>
      </c>
      <c r="B22" s="28"/>
      <c r="C22" s="29"/>
    </row>
    <row r="23" spans="1:3" x14ac:dyDescent="0.2">
      <c r="A23" s="17" t="s">
        <v>266</v>
      </c>
      <c r="B23" s="28"/>
      <c r="C23" s="29"/>
    </row>
    <row r="24" spans="1:3" x14ac:dyDescent="0.2">
      <c r="A24" s="17" t="s">
        <v>267</v>
      </c>
      <c r="B24" s="28"/>
      <c r="C24" s="29"/>
    </row>
  </sheetData>
  <mergeCells count="7">
    <mergeCell ref="A4:C4"/>
    <mergeCell ref="B21:C21"/>
    <mergeCell ref="B24:C24"/>
    <mergeCell ref="A11:C11"/>
    <mergeCell ref="B20:C20"/>
    <mergeCell ref="B23:C23"/>
    <mergeCell ref="B22:C22"/>
  </mergeCells>
  <dataValidations count="2">
    <dataValidation type="list" allowBlank="1" sqref="B13 B14 B15 B16 B17 B18" xr:uid="{00000000-0002-0000-0200-000000000000}">
      <formula1>"Pass,Fail,Partial,Not Tested"</formula1>
    </dataValidation>
    <dataValidation type="list" allowBlank="1" sqref="B20" xr:uid="{00000000-0002-0000-0200-000001000000}">
      <formula1>"GO,NO-GO"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Test Cases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Leong, Ka Yin</cp:lastModifiedBy>
  <dcterms:created xsi:type="dcterms:W3CDTF">2026-07-31T03:59:19Z</dcterms:created>
  <dcterms:modified xsi:type="dcterms:W3CDTF">2026-07-31T04:06:47Z</dcterms:modified>
</cp:coreProperties>
</file>