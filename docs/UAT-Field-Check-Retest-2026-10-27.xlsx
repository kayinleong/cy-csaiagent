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eld Check (re-test)" sheetId="2" state="visible" r:id="rId2"/>
    <sheet xmlns:r="http://schemas.openxmlformats.org/officeDocument/2006/relationships" name="Search Cases" sheetId="3" state="visible" r:id="rId3"/>
    <sheet xmlns:r="http://schemas.openxmlformats.org/officeDocument/2006/relationships" name="Findings" sheetId="4" state="visible" r:id="rId4"/>
    <sheet xmlns:r="http://schemas.openxmlformats.org/officeDocument/2006/relationships" name="Developer Check" sheetId="5" state="visible" r:id="rId5"/>
    <sheet xmlns:r="http://schemas.openxmlformats.org/officeDocument/2006/relationships" name="Answers" sheetId="6" state="visible" r:id="rId6"/>
  </sheets>
  <definedNames>
    <definedName name="_xlnm._FilterDatabase" localSheetId="1" hidden="1">'Field Check (re-test)'!$A$4:$T$87</definedName>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sz val="12"/>
    </font>
    <font>
      <name val="Arial"/>
      <i val="1"/>
      <sz val="9"/>
    </font>
    <font>
      <name val="Arial"/>
      <b val="1"/>
      <color rgb="00FFFFFF"/>
      <sz val="10"/>
    </font>
    <font>
      <name val="Arial"/>
      <sz val="9"/>
    </font>
    <font>
      <name val="Arial"/>
      <b val="1"/>
      <sz val="9"/>
    </font>
    <font>
      <name val="Arial"/>
      <b val="1"/>
      <sz val="14"/>
    </font>
    <font>
      <name val="Arial"/>
      <b val="1"/>
      <sz val="10"/>
    </font>
    <font>
      <name val="Arial"/>
      <sz val="10"/>
    </font>
    <font>
      <name val="Arial"/>
      <b val="1"/>
      <sz val="11"/>
    </font>
  </fonts>
  <fills count="10">
    <fill>
      <patternFill/>
    </fill>
    <fill>
      <patternFill patternType="gray125"/>
    </fill>
    <fill>
      <patternFill patternType="solid">
        <fgColor rgb="001F3864"/>
      </patternFill>
    </fill>
    <fill>
      <patternFill patternType="solid">
        <fgColor rgb="00C6EFCE"/>
      </patternFill>
    </fill>
    <fill>
      <patternFill patternType="solid">
        <fgColor rgb="00EDEDED"/>
      </patternFill>
    </fill>
    <fill>
      <patternFill patternType="solid">
        <fgColor rgb="00FCE4D6"/>
      </patternFill>
    </fill>
    <fill>
      <patternFill patternType="solid">
        <fgColor rgb="00E2EFDA"/>
      </patternFill>
    </fill>
    <fill>
      <patternFill patternType="solid">
        <fgColor rgb="00DDEBF7"/>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pivotButton="0" quotePrefix="0" xfId="0"/>
    <xf numFmtId="0" fontId="8" fillId="0" borderId="0" pivotButton="0" quotePrefix="0" xfId="0"/>
    <xf numFmtId="0" fontId="8" fillId="3" borderId="0" pivotButton="0" quotePrefix="0" xfId="0"/>
    <xf numFmtId="0" fontId="8" fillId="6" borderId="0" pivotButton="0" quotePrefix="0" xfId="0"/>
    <xf numFmtId="0" fontId="8" fillId="5" borderId="0" pivotButton="0" quotePrefix="0" xfId="0"/>
    <xf numFmtId="0" fontId="8" fillId="9" borderId="0" pivotButton="0" quotePrefix="0" xfId="0"/>
    <xf numFmtId="0" fontId="8" fillId="8" borderId="0" pivotButton="0" quotePrefix="0" xfId="0"/>
    <xf numFmtId="0" fontId="8" fillId="7" borderId="0" pivotButton="0" quotePrefix="0" xfId="0"/>
    <xf numFmtId="0" fontId="8" fillId="4" borderId="0" pivotButton="0" quotePrefix="0" xfId="0"/>
    <xf numFmtId="164" fontId="8" fillId="0" borderId="0" pivotButton="0" quotePrefix="0" xfId="0"/>
    <xf numFmtId="0" fontId="2" fillId="0" borderId="0" pivotButton="0" quotePrefix="0" xfId="0"/>
    <xf numFmtId="0" fontId="4" fillId="0" borderId="0" applyAlignment="1" pivotButton="0" quotePrefix="0" xfId="0">
      <alignment wrapText="1"/>
    </xf>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3"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0" borderId="1" applyAlignment="1" pivotButton="0" quotePrefix="0" xfId="0">
      <alignment horizontal="left" vertical="top" wrapText="1"/>
    </xf>
    <xf numFmtId="0" fontId="4" fillId="5" borderId="1" applyAlignment="1" pivotButton="0" quotePrefix="0" xfId="0">
      <alignment horizontal="center" vertical="top"/>
    </xf>
    <xf numFmtId="0" fontId="5" fillId="6" borderId="1" applyAlignment="1" pivotButton="0" quotePrefix="0" xfId="0">
      <alignment horizontal="center" vertical="top"/>
    </xf>
    <xf numFmtId="0" fontId="4" fillId="7" borderId="1" applyAlignment="1" pivotButton="0" quotePrefix="0" xfId="0">
      <alignment horizontal="center" vertical="top"/>
    </xf>
    <xf numFmtId="0" fontId="4" fillId="8" borderId="1" applyAlignment="1" pivotButton="0" quotePrefix="0" xfId="0">
      <alignment horizontal="center" vertical="top"/>
    </xf>
    <xf numFmtId="0" fontId="5" fillId="5" borderId="1" applyAlignment="1" pivotButton="0" quotePrefix="0" xfId="0">
      <alignment horizontal="center" vertical="top"/>
    </xf>
    <xf numFmtId="0" fontId="5" fillId="9" borderId="1" applyAlignment="1" pivotButton="0" quotePrefix="0" xfId="0">
      <alignment horizontal="center" vertical="top"/>
    </xf>
    <xf numFmtId="0" fontId="4" fillId="9" borderId="1" applyAlignment="1" pivotButton="0" quotePrefix="0" xfId="0">
      <alignment horizontal="center" vertical="top"/>
    </xf>
    <xf numFmtId="0" fontId="5" fillId="0" borderId="1" applyAlignment="1" pivotButton="0" quotePrefix="0" xfId="0">
      <alignment horizontal="center" vertical="top"/>
    </xf>
    <xf numFmtId="0" fontId="5" fillId="8" borderId="1" applyAlignment="1" pivotButton="0" quotePrefix="0" xfId="0">
      <alignment horizontal="center" vertical="top"/>
    </xf>
    <xf numFmtId="0" fontId="5" fillId="0" borderId="1" applyAlignment="1" pivotButton="0" quotePrefix="0" xfId="0">
      <alignment horizontal="left" vertical="top" wrapText="1"/>
    </xf>
    <xf numFmtId="0" fontId="5"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46" customWidth="1" min="1" max="1"/>
    <col width="14" customWidth="1" min="2" max="2"/>
    <col width="90" customWidth="1" min="3" max="3"/>
  </cols>
  <sheetData>
    <row r="1">
      <c r="A1" s="1" t="inlineStr">
        <is>
          <t>D2 Finder: client sheet field check re-test</t>
        </is>
      </c>
    </row>
    <row r="2"/>
    <row r="3" ht="30" customHeight="1">
      <c r="A3" s="2" t="inlineStr">
        <is>
          <t>Date</t>
        </is>
      </c>
      <c r="B3" s="3" t="inlineStr">
        <is>
          <t>27 Oct 2026</t>
        </is>
      </c>
    </row>
    <row r="4" ht="30" customHeight="1">
      <c r="A4" s="2" t="inlineStr">
        <is>
          <t>Build</t>
        </is>
      </c>
      <c r="B4" s="3" t="inlineStr">
        <is>
          <t>main @ 34b02aa (quick-kayinleong-098 fixes) + quick-kayinleong-099 dev-only model override, local dev server</t>
        </is>
      </c>
    </row>
    <row r="5" ht="30" customHeight="1">
      <c r="A5" s="2" t="inlineStr">
        <is>
          <t>Model</t>
        </is>
      </c>
      <c r="B5" s="3" t="inlineStr">
        <is>
          <t>gemini-3.5-flash via LOCAL_MODEL_OVERRIDE. The Anthropic key in .env had no credit (AI_APICallError), so production Claude could not be used</t>
        </is>
      </c>
    </row>
    <row r="6" ht="30" customHeight="1">
      <c r="A6" s="2" t="inlineStr">
        <is>
          <t>Method</t>
        </is>
      </c>
      <c r="B6" s="3" t="inlineStr">
        <is>
          <t>Signed in as the admin test account, chat page, Finder chip, one NEW conversation per prompt. 83 full-detail prompts (one per project) plus 6 search cases. Answers read back from the saved conversation in Firestore and scored against the client sheet (claim 096 normalised values), then every unsettled cell reviewed by hand</t>
        </is>
      </c>
    </row>
    <row r="7" ht="30" customHeight="1">
      <c r="A7" s="2" t="inlineStr">
        <is>
          <t>Runs</t>
        </is>
      </c>
      <c r="B7" s="3" t="inlineStr">
        <is>
          <t>89 prompts, 0 errors, 0 backend failures. The rate limit (300k tokens / 24h) tripped 5 times (about 18k tokens per detail answer) and was reset from the admin Users page</t>
        </is>
      </c>
    </row>
    <row r="8"/>
    <row r="9">
      <c r="A9" s="4" t="inlineStr">
        <is>
          <t>Projects by overall result</t>
        </is>
      </c>
    </row>
    <row r="10">
      <c r="A10" s="5" t="inlineStr">
        <is>
          <t>Pass</t>
        </is>
      </c>
      <c r="B10" s="6">
        <f>COUNTIF('Field Check (re-test)'!$C$5:$C$87,"Pass")</f>
        <v/>
      </c>
    </row>
    <row r="11">
      <c r="A11" s="5" t="inlineStr">
        <is>
          <t>Pass (differs)</t>
        </is>
      </c>
      <c r="B11" s="7">
        <f>COUNTIF('Field Check (re-test)'!$C$5:$C$87,"Pass (differs)")</f>
        <v/>
      </c>
    </row>
    <row r="12">
      <c r="A12" s="5" t="inlineStr">
        <is>
          <t>Needs ruling</t>
        </is>
      </c>
      <c r="B12" s="8">
        <f>COUNTIF('Field Check (re-test)'!$C$5:$C$87,"Needs ruling")</f>
        <v/>
      </c>
    </row>
    <row r="13">
      <c r="A13" s="5" t="inlineStr">
        <is>
          <t>Partial</t>
        </is>
      </c>
      <c r="B13" s="9">
        <f>COUNTIF('Field Check (re-test)'!$C$5:$C$87,"Partial")</f>
        <v/>
      </c>
    </row>
    <row r="14">
      <c r="A14" s="5" t="inlineStr">
        <is>
          <t>Fail</t>
        </is>
      </c>
      <c r="B14" s="10">
        <f>COUNTIF('Field Check (re-test)'!$C$5:$C$87,"Fail")</f>
        <v/>
      </c>
    </row>
    <row r="15">
      <c r="A15" s="5" t="inlineStr">
        <is>
          <t>Review</t>
        </is>
      </c>
      <c r="B15" s="10">
        <f>COUNTIF('Field Check (re-test)'!$C$5:$C$87,"Review")</f>
        <v/>
      </c>
    </row>
    <row r="16">
      <c r="A16" s="2" t="inlineStr">
        <is>
          <t>Total projects</t>
        </is>
      </c>
      <c r="B16" s="2">
        <f>SUM(B10:B15)</f>
        <v/>
      </c>
    </row>
    <row r="17"/>
    <row r="18">
      <c r="A18" s="4" t="inlineStr">
        <is>
          <t>Cells by result (83 projects x 15 fields)</t>
        </is>
      </c>
    </row>
    <row r="19">
      <c r="A19" s="5" t="inlineStr">
        <is>
          <t>PASS</t>
        </is>
      </c>
      <c r="B19" s="6">
        <f>COUNTIF('Field Check (re-test)'!$D$5:$R$87,"PASS")</f>
        <v/>
      </c>
    </row>
    <row r="20">
      <c r="A20" s="5" t="inlineStr">
        <is>
          <t>DIFFERS</t>
        </is>
      </c>
      <c r="B20" s="11">
        <f>COUNTIF('Field Check (re-test)'!$D$5:$R$87,"DIFFERS")</f>
        <v/>
      </c>
    </row>
    <row r="21">
      <c r="A21" s="5" t="inlineStr">
        <is>
          <t>CONFLICT</t>
        </is>
      </c>
      <c r="B21" s="8">
        <f>COUNTIF('Field Check (re-test)'!$D$5:$R$87,"CONFLICT")</f>
        <v/>
      </c>
    </row>
    <row r="22">
      <c r="A22" s="5" t="inlineStr">
        <is>
          <t>NOT STATED</t>
        </is>
      </c>
      <c r="B22" s="9">
        <f>COUNTIF('Field Check (re-test)'!$D$5:$R$87,"NOT STATED")</f>
        <v/>
      </c>
    </row>
    <row r="23">
      <c r="A23" s="5" t="inlineStr">
        <is>
          <t>NO SOURCE</t>
        </is>
      </c>
      <c r="B23" s="12">
        <f>COUNTIF('Field Check (re-test)'!$D$5:$R$87,"NO SOURCE")</f>
        <v/>
      </c>
    </row>
    <row r="24">
      <c r="A24" s="5" t="inlineStr">
        <is>
          <t>FAIL</t>
        </is>
      </c>
      <c r="B24" s="10">
        <f>COUNTIF('Field Check (re-test)'!$D$5:$R$87,"FAIL")</f>
        <v/>
      </c>
    </row>
    <row r="25">
      <c r="A25" s="5" t="inlineStr">
        <is>
          <t>—</t>
        </is>
      </c>
      <c r="B25" s="5">
        <f>COUNTIF('Field Check (re-test)'!$D$5:$R$87,"—")</f>
        <v/>
      </c>
    </row>
    <row r="26">
      <c r="A26" s="2" t="inlineStr">
        <is>
          <t>Total cells</t>
        </is>
      </c>
      <c r="B26" s="2">
        <f>SUM(B19:B25)</f>
        <v/>
      </c>
    </row>
    <row r="27">
      <c r="A27" s="5" t="inlineStr">
        <is>
          <t>PASS rate where the client sheet has a value</t>
        </is>
      </c>
      <c r="B27" s="13">
        <f>B19/(B19+B20+B21+B22+B24)</f>
        <v/>
      </c>
      <c r="C27" s="14" t="inlineStr">
        <is>
          <t>PASS ÷ (PASS + DIFFERS + CONFLICT + NOT STATED + FAIL)</t>
        </is>
      </c>
    </row>
    <row r="28"/>
    <row r="29">
      <c r="A29" s="4" t="inlineStr">
        <is>
          <t>Previously failing projects (24 Oct)</t>
        </is>
      </c>
    </row>
    <row r="30">
      <c r="A30" s="5" t="inlineStr">
        <is>
          <t>d'Brightton titiwangsa</t>
        </is>
      </c>
      <c r="B30" s="6" t="inlineStr">
        <is>
          <t>Pass</t>
        </is>
      </c>
      <c r="C30" s="15" t="inlineStr">
        <is>
          <t>No longer returned for KLCC (search F9); its area now reads Titiwangsa</t>
        </is>
      </c>
    </row>
    <row r="31">
      <c r="A31" s="5" t="inlineStr">
        <is>
          <t>Alstonia Hilltop Homes</t>
        </is>
      </c>
      <c r="B31" s="6" t="inlineStr">
        <is>
          <t>Pass</t>
        </is>
      </c>
      <c r="C31" s="15" t="inlineStr">
        <is>
          <t>No longer returned for North Kiara (search F5); its area is now the client sheet's Sungai Buloh, Selangor</t>
        </is>
      </c>
    </row>
    <row r="32">
      <c r="A32" s="5" t="inlineStr">
        <is>
          <t>OAKA Residences, Bukit Jalil</t>
        </is>
      </c>
      <c r="B32" s="6" t="inlineStr">
        <is>
          <t>Pass</t>
        </is>
      </c>
      <c r="C32" s="15" t="inlineStr">
        <is>
          <t>All facts match. D-014 (RM750,000 range floor vs ~RM850k cheapest layout) is unchanged and still needs Derek's ruling</t>
        </is>
      </c>
    </row>
    <row r="33">
      <c r="A33" s="5" t="inlineStr">
        <is>
          <t>Aspire office @ KL ecocity</t>
        </is>
      </c>
      <c r="B33" s="6" t="inlineStr">
        <is>
          <t>Pass</t>
        </is>
      </c>
      <c r="C33" s="15" t="inlineStr">
        <is>
          <t>No longer in the residential Bangsar shortlist (search N2); still answered in full when asked by name</t>
        </is>
      </c>
    </row>
    <row r="34">
      <c r="A34" s="5" t="inlineStr">
        <is>
          <t>Bangsar Hill Park (Needs ruling)</t>
        </is>
      </c>
      <c r="B34" s="6" t="inlineStr">
        <is>
          <t>Pass</t>
        </is>
      </c>
      <c r="C34" s="15" t="inlineStr">
        <is>
          <t>Facts match. The F13 price-total ruling remains (see Search Cases)</t>
        </is>
      </c>
    </row>
    <row r="35">
      <c r="A35" s="5" t="inlineStr">
        <is>
          <t>Binastra Cochrane (Needs ruling)</t>
        </is>
      </c>
      <c r="B35" s="6" t="inlineStr">
        <is>
          <t>Pass</t>
        </is>
      </c>
      <c r="C35" s="15" t="inlineStr">
        <is>
          <t>Correctly reported as not in D2's inventory (it was never loaded)</t>
        </is>
      </c>
    </row>
    <row r="36">
      <c r="A36" s="5" t="inlineStr">
        <is>
          <t>SO Sofitel Residences KLCC (Partial)</t>
        </is>
      </c>
      <c r="B36" s="6" t="inlineStr">
        <is>
          <t>Pass</t>
        </is>
      </c>
      <c r="C36" s="15" t="inlineStr">
        <is>
          <t>Type B1A nett RM1,525,440 / gross RM1,906,800 now confirmed in chat</t>
        </is>
      </c>
    </row>
  </sheetData>
  <mergeCells count="5">
    <mergeCell ref="B6:C6"/>
    <mergeCell ref="B7:C7"/>
    <mergeCell ref="B3:C3"/>
    <mergeCell ref="B5:C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7"/>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13"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3" customWidth="1" min="19" max="19"/>
    <col width="90" customWidth="1" min="20" max="20"/>
  </cols>
  <sheetData>
    <row r="1">
      <c r="A1" s="16" t="inlineStr">
        <is>
          <t>Client Sheet Field Check: re-test on 27 Oct 2026, local dev server, chat page, Finder chip, one new conversation per project</t>
        </is>
      </c>
    </row>
    <row r="2" ht="30" customHeight="1">
      <c r="A2" s="17" t="inlineStr">
        <is>
          <t>PASS = matches the client sheet · DIFFERS = worded differently, not contradictory · CONFLICT = the bot's source disagrees with the client sheet (needs a ruling) · NOT STATED = the sheet has a value, the bot said not on record · NO SOURCE = the bot gave a value where the sheet is blank · — = blank in both</t>
        </is>
      </c>
    </row>
    <row r="3"/>
    <row r="4">
      <c r="A4" s="18" t="inlineStr">
        <is>
          <t>#</t>
        </is>
      </c>
      <c r="B4" s="18" t="inlineStr">
        <is>
          <t>Project (client sheet name)</t>
        </is>
      </c>
      <c r="C4" s="18" t="inlineStr">
        <is>
          <t>Overall</t>
        </is>
      </c>
      <c r="D4" s="18" t="inlineStr">
        <is>
          <t>Size</t>
        </is>
      </c>
      <c r="E4" s="18" t="inlineStr">
        <is>
          <t>Rooms</t>
        </is>
      </c>
      <c r="F4" s="18" t="inlineStr">
        <is>
          <t>Nett Price</t>
        </is>
      </c>
      <c r="G4" s="18" t="inlineStr">
        <is>
          <t>Gross Price</t>
        </is>
      </c>
      <c r="H4" s="18" t="inlineStr">
        <is>
          <t>Area</t>
        </is>
      </c>
      <c r="I4" s="18" t="inlineStr">
        <is>
          <t>Developer</t>
        </is>
      </c>
      <c r="J4" s="18" t="inlineStr">
        <is>
          <t>Land Title</t>
        </is>
      </c>
      <c r="K4" s="18" t="inlineStr">
        <is>
          <t>Maintenance Fee</t>
        </is>
      </c>
      <c r="L4" s="18" t="inlineStr">
        <is>
          <t>Tenure</t>
        </is>
      </c>
      <c r="M4" s="18" t="inlineStr">
        <is>
          <t>Total Units</t>
        </is>
      </c>
      <c r="N4" s="18" t="inlineStr">
        <is>
          <t>Total Floors</t>
        </is>
      </c>
      <c r="O4" s="18" t="inlineStr">
        <is>
          <t>Completion / VP</t>
        </is>
      </c>
      <c r="P4" s="18" t="inlineStr">
        <is>
          <t>Top Reasons Why</t>
        </is>
      </c>
      <c r="Q4" s="18" t="inlineStr">
        <is>
          <t>Furnishing</t>
        </is>
      </c>
      <c r="R4" s="18" t="inlineStr">
        <is>
          <t>Car Park Allocation</t>
        </is>
      </c>
      <c r="S4" s="18" t="inlineStr">
        <is>
          <t>Prior overall (24 Oct)</t>
        </is>
      </c>
      <c r="T4" s="18" t="inlineStr">
        <is>
          <t>Notes</t>
        </is>
      </c>
    </row>
    <row r="5">
      <c r="A5" s="19" t="n">
        <v>1</v>
      </c>
      <c r="B5" s="20" t="inlineStr">
        <is>
          <t>Damansara City Residency (DC Residensi)</t>
        </is>
      </c>
      <c r="C5" s="21" t="inlineStr">
        <is>
          <t>Pass</t>
        </is>
      </c>
      <c r="D5" s="22" t="inlineStr">
        <is>
          <t>PASS</t>
        </is>
      </c>
      <c r="E5" s="22" t="inlineStr">
        <is>
          <t>PASS</t>
        </is>
      </c>
      <c r="F5" s="22" t="inlineStr">
        <is>
          <t>PASS</t>
        </is>
      </c>
      <c r="G5" s="22" t="inlineStr">
        <is>
          <t>PASS</t>
        </is>
      </c>
      <c r="H5" s="22" t="inlineStr">
        <is>
          <t>PASS</t>
        </is>
      </c>
      <c r="I5" s="22" t="inlineStr">
        <is>
          <t>PASS</t>
        </is>
      </c>
      <c r="J5" s="22" t="inlineStr">
        <is>
          <t>PASS</t>
        </is>
      </c>
      <c r="K5" s="22" t="inlineStr">
        <is>
          <t>PASS</t>
        </is>
      </c>
      <c r="L5" s="22" t="inlineStr">
        <is>
          <t>PASS</t>
        </is>
      </c>
      <c r="M5" s="22" t="inlineStr">
        <is>
          <t>PASS</t>
        </is>
      </c>
      <c r="N5" s="22" t="inlineStr">
        <is>
          <t>PASS</t>
        </is>
      </c>
      <c r="O5" s="22" t="inlineStr">
        <is>
          <t>PASS</t>
        </is>
      </c>
      <c r="P5" s="19" t="inlineStr">
        <is>
          <t>—</t>
        </is>
      </c>
      <c r="Q5" s="23" t="inlineStr">
        <is>
          <t>NO SOURCE</t>
        </is>
      </c>
      <c r="R5" s="23" t="inlineStr">
        <is>
          <t>NO SOURCE</t>
        </is>
      </c>
      <c r="S5" s="22" t="inlineStr">
        <is>
          <t>Pass</t>
        </is>
      </c>
      <c r="T5" s="24" t="inlineStr"/>
    </row>
    <row r="6">
      <c r="A6" s="19" t="n">
        <v>2</v>
      </c>
      <c r="B6" s="20" t="inlineStr">
        <is>
          <t>PDH: Imperial Residences RA</t>
        </is>
      </c>
      <c r="C6" s="21" t="inlineStr">
        <is>
          <t>Pass</t>
        </is>
      </c>
      <c r="D6" s="22" t="inlineStr">
        <is>
          <t>PASS</t>
        </is>
      </c>
      <c r="E6" s="22" t="inlineStr">
        <is>
          <t>PASS</t>
        </is>
      </c>
      <c r="F6" s="22" t="inlineStr">
        <is>
          <t>PASS</t>
        </is>
      </c>
      <c r="G6" s="22" t="inlineStr">
        <is>
          <t>PASS</t>
        </is>
      </c>
      <c r="H6" s="22" t="inlineStr">
        <is>
          <t>PASS</t>
        </is>
      </c>
      <c r="I6" s="23" t="inlineStr">
        <is>
          <t>NO SOURCE</t>
        </is>
      </c>
      <c r="J6" s="22" t="inlineStr">
        <is>
          <t>PASS</t>
        </is>
      </c>
      <c r="K6" s="22" t="inlineStr">
        <is>
          <t>PASS</t>
        </is>
      </c>
      <c r="L6" s="23" t="inlineStr">
        <is>
          <t>NO SOURCE</t>
        </is>
      </c>
      <c r="M6" s="23" t="inlineStr">
        <is>
          <t>NO SOURCE</t>
        </is>
      </c>
      <c r="N6" s="19" t="inlineStr">
        <is>
          <t>—</t>
        </is>
      </c>
      <c r="O6" s="22" t="inlineStr">
        <is>
          <t>PASS</t>
        </is>
      </c>
      <c r="P6" s="23" t="inlineStr">
        <is>
          <t>NO SOURCE</t>
        </is>
      </c>
      <c r="Q6" s="23" t="inlineStr">
        <is>
          <t>NO SOURCE</t>
        </is>
      </c>
      <c r="R6" s="23" t="inlineStr">
        <is>
          <t>NO SOURCE</t>
        </is>
      </c>
      <c r="S6" s="19" t="inlineStr">
        <is>
          <t>Not run</t>
        </is>
      </c>
      <c r="T6" s="24" t="inlineStr"/>
    </row>
    <row r="7">
      <c r="A7" s="19" t="n">
        <v>3</v>
      </c>
      <c r="B7" s="20" t="inlineStr">
        <is>
          <t>Bangsar Hill Park</t>
        </is>
      </c>
      <c r="C7" s="21" t="inlineStr">
        <is>
          <t>Pass</t>
        </is>
      </c>
      <c r="D7" s="23" t="inlineStr">
        <is>
          <t>NO SOURCE</t>
        </is>
      </c>
      <c r="E7" s="19" t="inlineStr">
        <is>
          <t>—</t>
        </is>
      </c>
      <c r="F7" s="23" t="inlineStr">
        <is>
          <t>NO SOURCE</t>
        </is>
      </c>
      <c r="G7" s="23" t="inlineStr">
        <is>
          <t>NO SOURCE</t>
        </is>
      </c>
      <c r="H7" s="22" t="inlineStr">
        <is>
          <t>PASS</t>
        </is>
      </c>
      <c r="I7" s="22" t="inlineStr">
        <is>
          <t>PASS</t>
        </is>
      </c>
      <c r="J7" s="22" t="inlineStr">
        <is>
          <t>PASS</t>
        </is>
      </c>
      <c r="K7" s="22" t="inlineStr">
        <is>
          <t>PASS</t>
        </is>
      </c>
      <c r="L7" s="23" t="inlineStr">
        <is>
          <t>NO SOURCE</t>
        </is>
      </c>
      <c r="M7" s="22" t="inlineStr">
        <is>
          <t>PASS</t>
        </is>
      </c>
      <c r="N7" s="22" t="inlineStr">
        <is>
          <t>PASS</t>
        </is>
      </c>
      <c r="O7" s="22" t="inlineStr">
        <is>
          <t>PASS</t>
        </is>
      </c>
      <c r="P7" s="23" t="inlineStr">
        <is>
          <t>NO SOURCE</t>
        </is>
      </c>
      <c r="Q7" s="23" t="inlineStr">
        <is>
          <t>NO SOURCE</t>
        </is>
      </c>
      <c r="R7" s="23" t="inlineStr">
        <is>
          <t>NO SOURCE</t>
        </is>
      </c>
      <c r="S7" s="25" t="inlineStr">
        <is>
          <t>Needs ruling</t>
        </is>
      </c>
      <c r="T7" s="24" t="inlineStr"/>
    </row>
    <row r="8">
      <c r="A8" s="19" t="n">
        <v>4</v>
      </c>
      <c r="B8" s="20" t="inlineStr">
        <is>
          <t>ViiA Residences</t>
        </is>
      </c>
      <c r="C8" s="26" t="inlineStr">
        <is>
          <t>Pass (differs)</t>
        </is>
      </c>
      <c r="D8" s="22" t="inlineStr">
        <is>
          <t>PASS</t>
        </is>
      </c>
      <c r="E8" s="22" t="inlineStr">
        <is>
          <t>PASS</t>
        </is>
      </c>
      <c r="F8" s="22" t="inlineStr">
        <is>
          <t>PASS</t>
        </is>
      </c>
      <c r="G8" s="22" t="inlineStr">
        <is>
          <t>PASS</t>
        </is>
      </c>
      <c r="H8" s="27" t="inlineStr">
        <is>
          <t>DIFFERS</t>
        </is>
      </c>
      <c r="I8" s="22" t="inlineStr">
        <is>
          <t>PASS</t>
        </is>
      </c>
      <c r="J8" s="23" t="inlineStr">
        <is>
          <t>NO SOURCE</t>
        </is>
      </c>
      <c r="K8" s="22" t="inlineStr">
        <is>
          <t>PASS</t>
        </is>
      </c>
      <c r="L8" s="22" t="inlineStr">
        <is>
          <t>PASS</t>
        </is>
      </c>
      <c r="M8" s="22" t="inlineStr">
        <is>
          <t>PASS</t>
        </is>
      </c>
      <c r="N8" s="22" t="inlineStr">
        <is>
          <t>PASS</t>
        </is>
      </c>
      <c r="O8" s="22" t="inlineStr">
        <is>
          <t>PASS</t>
        </is>
      </c>
      <c r="P8" s="22" t="inlineStr">
        <is>
          <t>PASS</t>
        </is>
      </c>
      <c r="Q8" s="19" t="inlineStr">
        <is>
          <t>—</t>
        </is>
      </c>
      <c r="R8" s="23" t="inlineStr">
        <is>
          <t>NO SOURCE</t>
        </is>
      </c>
      <c r="S8" s="19" t="inlineStr">
        <is>
          <t>Not run</t>
        </is>
      </c>
      <c r="T8" s="24" t="inlineStr">
        <is>
          <t>Area: Bot says "KL Eco City"; sheet says "Bangsar"</t>
        </is>
      </c>
    </row>
    <row r="9">
      <c r="A9" s="19" t="n">
        <v>5</v>
      </c>
      <c r="B9" s="20" t="inlineStr">
        <is>
          <t>Enlace Suites @ Pantai Sentral Park</t>
        </is>
      </c>
      <c r="C9" s="21" t="inlineStr">
        <is>
          <t>Pass</t>
        </is>
      </c>
      <c r="D9" s="23" t="inlineStr">
        <is>
          <t>NO SOURCE</t>
        </is>
      </c>
      <c r="E9" s="19" t="inlineStr">
        <is>
          <t>—</t>
        </is>
      </c>
      <c r="F9" s="23" t="inlineStr">
        <is>
          <t>NO SOURCE</t>
        </is>
      </c>
      <c r="G9" s="23" t="inlineStr">
        <is>
          <t>NO SOURCE</t>
        </is>
      </c>
      <c r="H9" s="22" t="inlineStr">
        <is>
          <t>PASS</t>
        </is>
      </c>
      <c r="I9" s="22" t="inlineStr">
        <is>
          <t>PASS</t>
        </is>
      </c>
      <c r="J9" s="22" t="inlineStr">
        <is>
          <t>PASS</t>
        </is>
      </c>
      <c r="K9" s="23" t="inlineStr">
        <is>
          <t>NO SOURCE</t>
        </is>
      </c>
      <c r="L9" s="23" t="inlineStr">
        <is>
          <t>NO SOURCE</t>
        </is>
      </c>
      <c r="M9" s="22" t="inlineStr">
        <is>
          <t>PASS</t>
        </is>
      </c>
      <c r="N9" s="22" t="inlineStr">
        <is>
          <t>PASS</t>
        </is>
      </c>
      <c r="O9" s="22" t="inlineStr">
        <is>
          <t>PASS</t>
        </is>
      </c>
      <c r="P9" s="23" t="inlineStr">
        <is>
          <t>NO SOURCE</t>
        </is>
      </c>
      <c r="Q9" s="23" t="inlineStr">
        <is>
          <t>NO SOURCE</t>
        </is>
      </c>
      <c r="R9" s="19" t="inlineStr">
        <is>
          <t>—</t>
        </is>
      </c>
      <c r="S9" s="22" t="inlineStr">
        <is>
          <t>Pass</t>
        </is>
      </c>
      <c r="T9" s="24" t="inlineStr"/>
    </row>
    <row r="10">
      <c r="A10" s="19" t="n">
        <v>6</v>
      </c>
      <c r="B10" s="20" t="inlineStr">
        <is>
          <t>The Lantern Bangsar</t>
        </is>
      </c>
      <c r="C10" s="21" t="inlineStr">
        <is>
          <t>Pass</t>
        </is>
      </c>
      <c r="D10" s="22" t="inlineStr">
        <is>
          <t>PASS</t>
        </is>
      </c>
      <c r="E10" s="22" t="inlineStr">
        <is>
          <t>PASS</t>
        </is>
      </c>
      <c r="F10" s="19" t="inlineStr">
        <is>
          <t>—</t>
        </is>
      </c>
      <c r="G10" s="19" t="inlineStr">
        <is>
          <t>—</t>
        </is>
      </c>
      <c r="H10" s="22" t="inlineStr">
        <is>
          <t>PASS</t>
        </is>
      </c>
      <c r="I10" s="22" t="inlineStr">
        <is>
          <t>PASS</t>
        </is>
      </c>
      <c r="J10" s="23" t="inlineStr">
        <is>
          <t>NO SOURCE</t>
        </is>
      </c>
      <c r="K10" s="22" t="inlineStr">
        <is>
          <t>PASS</t>
        </is>
      </c>
      <c r="L10" s="22" t="inlineStr">
        <is>
          <t>PASS</t>
        </is>
      </c>
      <c r="M10" s="22" t="inlineStr">
        <is>
          <t>PASS</t>
        </is>
      </c>
      <c r="N10" s="22" t="inlineStr">
        <is>
          <t>PASS</t>
        </is>
      </c>
      <c r="O10" s="22" t="inlineStr">
        <is>
          <t>PASS</t>
        </is>
      </c>
      <c r="P10" s="23" t="inlineStr">
        <is>
          <t>NO SOURCE</t>
        </is>
      </c>
      <c r="Q10" s="23" t="inlineStr">
        <is>
          <t>NO SOURCE</t>
        </is>
      </c>
      <c r="R10" s="23" t="inlineStr">
        <is>
          <t>NO SOURCE</t>
        </is>
      </c>
      <c r="S10" s="22" t="inlineStr">
        <is>
          <t>Pass</t>
        </is>
      </c>
      <c r="T10" s="24" t="inlineStr"/>
    </row>
    <row r="11">
      <c r="A11" s="19" t="n">
        <v>7</v>
      </c>
      <c r="B11" s="20" t="inlineStr">
        <is>
          <t>One Eleven Menerung @ Bangsar</t>
        </is>
      </c>
      <c r="C11" s="21" t="inlineStr">
        <is>
          <t>Pass</t>
        </is>
      </c>
      <c r="D11" s="22" t="inlineStr">
        <is>
          <t>PASS</t>
        </is>
      </c>
      <c r="E11" s="22" t="inlineStr">
        <is>
          <t>PASS</t>
        </is>
      </c>
      <c r="F11" s="22" t="inlineStr">
        <is>
          <t>PASS</t>
        </is>
      </c>
      <c r="G11" s="22" t="inlineStr">
        <is>
          <t>PASS</t>
        </is>
      </c>
      <c r="H11" s="22" t="inlineStr">
        <is>
          <t>PASS</t>
        </is>
      </c>
      <c r="I11" s="22" t="inlineStr">
        <is>
          <t>PASS</t>
        </is>
      </c>
      <c r="J11" s="19" t="inlineStr">
        <is>
          <t>—</t>
        </is>
      </c>
      <c r="K11" s="19" t="inlineStr">
        <is>
          <t>—</t>
        </is>
      </c>
      <c r="L11" s="22" t="inlineStr">
        <is>
          <t>PASS</t>
        </is>
      </c>
      <c r="M11" s="22" t="inlineStr">
        <is>
          <t>PASS</t>
        </is>
      </c>
      <c r="N11" s="22" t="inlineStr">
        <is>
          <t>PASS</t>
        </is>
      </c>
      <c r="O11" s="22" t="inlineStr">
        <is>
          <t>PASS</t>
        </is>
      </c>
      <c r="P11" s="23" t="inlineStr">
        <is>
          <t>NO SOURCE</t>
        </is>
      </c>
      <c r="Q11" s="23" t="inlineStr">
        <is>
          <t>NO SOURCE</t>
        </is>
      </c>
      <c r="R11" s="23" t="inlineStr">
        <is>
          <t>NO SOURCE</t>
        </is>
      </c>
      <c r="S11" s="22" t="inlineStr">
        <is>
          <t>Pass</t>
        </is>
      </c>
      <c r="T11" s="24" t="inlineStr"/>
    </row>
    <row r="12">
      <c r="A12" s="19" t="n">
        <v>8</v>
      </c>
      <c r="B12" s="20" t="inlineStr">
        <is>
          <t>Pavilion Damansara Heights</t>
        </is>
      </c>
      <c r="C12" s="21" t="inlineStr">
        <is>
          <t>Pass</t>
        </is>
      </c>
      <c r="D12" s="23" t="inlineStr">
        <is>
          <t>NO SOURCE</t>
        </is>
      </c>
      <c r="E12" s="19" t="inlineStr">
        <is>
          <t>—</t>
        </is>
      </c>
      <c r="F12" s="23" t="inlineStr">
        <is>
          <t>NO SOURCE</t>
        </is>
      </c>
      <c r="G12" s="23" t="inlineStr">
        <is>
          <t>NO SOURCE</t>
        </is>
      </c>
      <c r="H12" s="22" t="inlineStr">
        <is>
          <t>PASS</t>
        </is>
      </c>
      <c r="I12" s="22" t="inlineStr">
        <is>
          <t>PASS</t>
        </is>
      </c>
      <c r="J12" s="23" t="inlineStr">
        <is>
          <t>NO SOURCE</t>
        </is>
      </c>
      <c r="K12" s="22" t="inlineStr">
        <is>
          <t>PASS</t>
        </is>
      </c>
      <c r="L12" s="22" t="inlineStr">
        <is>
          <t>PASS</t>
        </is>
      </c>
      <c r="M12" s="22" t="inlineStr">
        <is>
          <t>PASS</t>
        </is>
      </c>
      <c r="N12" s="19" t="inlineStr">
        <is>
          <t>—</t>
        </is>
      </c>
      <c r="O12" s="23" t="inlineStr">
        <is>
          <t>NO SOURCE</t>
        </is>
      </c>
      <c r="P12" s="23" t="inlineStr">
        <is>
          <t>NO SOURCE</t>
        </is>
      </c>
      <c r="Q12" s="23" t="inlineStr">
        <is>
          <t>NO SOURCE</t>
        </is>
      </c>
      <c r="R12" s="23" t="inlineStr">
        <is>
          <t>NO SOURCE</t>
        </is>
      </c>
      <c r="S12" s="19" t="inlineStr">
        <is>
          <t>Not run</t>
        </is>
      </c>
      <c r="T12" s="24" t="inlineStr">
        <is>
          <t>Developer: Impian Ekspresi Sdn Bhd (Pavilion Group)</t>
        </is>
      </c>
    </row>
    <row r="13">
      <c r="A13" s="19" t="n">
        <v>9</v>
      </c>
      <c r="B13" s="20" t="inlineStr">
        <is>
          <t>PDH: Royal Suites(RC)</t>
        </is>
      </c>
      <c r="C13" s="21" t="inlineStr">
        <is>
          <t>Pass</t>
        </is>
      </c>
      <c r="D13" s="22" t="inlineStr">
        <is>
          <t>PASS</t>
        </is>
      </c>
      <c r="E13" s="22" t="inlineStr">
        <is>
          <t>PASS</t>
        </is>
      </c>
      <c r="F13" s="19" t="inlineStr">
        <is>
          <t>—</t>
        </is>
      </c>
      <c r="G13" s="19" t="inlineStr">
        <is>
          <t>—</t>
        </is>
      </c>
      <c r="H13" s="22" t="inlineStr">
        <is>
          <t>PASS</t>
        </is>
      </c>
      <c r="I13" s="22" t="inlineStr">
        <is>
          <t>PASS</t>
        </is>
      </c>
      <c r="J13" s="22" t="inlineStr">
        <is>
          <t>PASS</t>
        </is>
      </c>
      <c r="K13" s="22" t="inlineStr">
        <is>
          <t>PASS</t>
        </is>
      </c>
      <c r="L13" s="22" t="inlineStr">
        <is>
          <t>PASS</t>
        </is>
      </c>
      <c r="M13" s="22" t="inlineStr">
        <is>
          <t>PASS</t>
        </is>
      </c>
      <c r="N13" s="22" t="inlineStr">
        <is>
          <t>PASS</t>
        </is>
      </c>
      <c r="O13" s="22" t="inlineStr">
        <is>
          <t>PASS</t>
        </is>
      </c>
      <c r="P13" s="23" t="inlineStr">
        <is>
          <t>NO SOURCE</t>
        </is>
      </c>
      <c r="Q13" s="22" t="inlineStr">
        <is>
          <t>PASS</t>
        </is>
      </c>
      <c r="R13" s="23" t="inlineStr">
        <is>
          <t>NO SOURCE</t>
        </is>
      </c>
      <c r="S13" s="19" t="inlineStr">
        <is>
          <t>Not run</t>
        </is>
      </c>
      <c r="T13" s="24" t="inlineStr"/>
    </row>
    <row r="14">
      <c r="A14" s="19" t="n">
        <v>10</v>
      </c>
      <c r="B14" s="20" t="inlineStr">
        <is>
          <t>Pinnacle Bangsar Residence</t>
        </is>
      </c>
      <c r="C14" s="21" t="inlineStr">
        <is>
          <t>Pass</t>
        </is>
      </c>
      <c r="D14" s="23" t="inlineStr">
        <is>
          <t>NO SOURCE</t>
        </is>
      </c>
      <c r="E14" s="23" t="inlineStr">
        <is>
          <t>NO SOURCE</t>
        </is>
      </c>
      <c r="F14" s="23" t="inlineStr">
        <is>
          <t>NO SOURCE</t>
        </is>
      </c>
      <c r="G14" s="23" t="inlineStr">
        <is>
          <t>NO SOURCE</t>
        </is>
      </c>
      <c r="H14" s="22" t="inlineStr">
        <is>
          <t>PASS</t>
        </is>
      </c>
      <c r="I14" s="22" t="inlineStr">
        <is>
          <t>PASS</t>
        </is>
      </c>
      <c r="J14" s="19" t="inlineStr">
        <is>
          <t>—</t>
        </is>
      </c>
      <c r="K14" s="22" t="inlineStr">
        <is>
          <t>PASS</t>
        </is>
      </c>
      <c r="L14" s="22" t="inlineStr">
        <is>
          <t>PASS</t>
        </is>
      </c>
      <c r="M14" s="22" t="inlineStr">
        <is>
          <t>PASS</t>
        </is>
      </c>
      <c r="N14" s="22" t="inlineStr">
        <is>
          <t>PASS</t>
        </is>
      </c>
      <c r="O14" s="22" t="inlineStr">
        <is>
          <t>PASS</t>
        </is>
      </c>
      <c r="P14" s="23" t="inlineStr">
        <is>
          <t>NO SOURCE</t>
        </is>
      </c>
      <c r="Q14" s="23" t="inlineStr">
        <is>
          <t>NO SOURCE</t>
        </is>
      </c>
      <c r="R14" s="23" t="inlineStr">
        <is>
          <t>NO SOURCE</t>
        </is>
      </c>
      <c r="S14" s="22" t="inlineStr">
        <is>
          <t>Pass</t>
        </is>
      </c>
      <c r="T14" s="24" t="inlineStr"/>
    </row>
    <row r="15">
      <c r="A15" s="19" t="n">
        <v>11</v>
      </c>
      <c r="B15" s="20" t="inlineStr">
        <is>
          <t>Parkside Residences</t>
        </is>
      </c>
      <c r="C15" s="21" t="inlineStr">
        <is>
          <t>Pass</t>
        </is>
      </c>
      <c r="D15" s="22" t="inlineStr">
        <is>
          <t>PASS</t>
        </is>
      </c>
      <c r="E15" s="22" t="inlineStr">
        <is>
          <t>PASS</t>
        </is>
      </c>
      <c r="F15" s="22" t="inlineStr">
        <is>
          <t>PASS</t>
        </is>
      </c>
      <c r="G15" s="22" t="inlineStr">
        <is>
          <t>PASS</t>
        </is>
      </c>
      <c r="H15" s="22" t="inlineStr">
        <is>
          <t>PASS</t>
        </is>
      </c>
      <c r="I15" s="22" t="inlineStr">
        <is>
          <t>PASS</t>
        </is>
      </c>
      <c r="J15" s="23" t="inlineStr">
        <is>
          <t>NO SOURCE</t>
        </is>
      </c>
      <c r="K15" s="22" t="inlineStr">
        <is>
          <t>PASS</t>
        </is>
      </c>
      <c r="L15" s="22" t="inlineStr">
        <is>
          <t>PASS</t>
        </is>
      </c>
      <c r="M15" s="22" t="inlineStr">
        <is>
          <t>PASS</t>
        </is>
      </c>
      <c r="N15" s="23" t="inlineStr">
        <is>
          <t>NO SOURCE</t>
        </is>
      </c>
      <c r="O15" s="22" t="inlineStr">
        <is>
          <t>PASS</t>
        </is>
      </c>
      <c r="P15" s="23" t="inlineStr">
        <is>
          <t>NO SOURCE</t>
        </is>
      </c>
      <c r="Q15" s="23" t="inlineStr">
        <is>
          <t>NO SOURCE</t>
        </is>
      </c>
      <c r="R15" s="23" t="inlineStr">
        <is>
          <t>NO SOURCE</t>
        </is>
      </c>
      <c r="S15" s="22" t="inlineStr">
        <is>
          <t>Pass</t>
        </is>
      </c>
      <c r="T15" s="24" t="inlineStr"/>
    </row>
    <row r="16">
      <c r="A16" s="19" t="n">
        <v>12</v>
      </c>
      <c r="B16" s="20" t="inlineStr">
        <is>
          <t>Rhombus</t>
        </is>
      </c>
      <c r="C16" s="21" t="inlineStr">
        <is>
          <t>Pass</t>
        </is>
      </c>
      <c r="D16" s="23" t="inlineStr">
        <is>
          <t>NO SOURCE</t>
        </is>
      </c>
      <c r="E16" s="19" t="inlineStr">
        <is>
          <t>—</t>
        </is>
      </c>
      <c r="F16" s="23" t="inlineStr">
        <is>
          <t>NO SOURCE</t>
        </is>
      </c>
      <c r="G16" s="23" t="inlineStr">
        <is>
          <t>NO SOURCE</t>
        </is>
      </c>
      <c r="H16" s="22" t="inlineStr">
        <is>
          <t>PASS</t>
        </is>
      </c>
      <c r="I16" s="22" t="inlineStr">
        <is>
          <t>PASS</t>
        </is>
      </c>
      <c r="J16" s="22" t="inlineStr">
        <is>
          <t>PASS</t>
        </is>
      </c>
      <c r="K16" s="22" t="inlineStr">
        <is>
          <t>PASS</t>
        </is>
      </c>
      <c r="L16" s="22" t="inlineStr">
        <is>
          <t>PASS</t>
        </is>
      </c>
      <c r="M16" s="22" t="inlineStr">
        <is>
          <t>PASS</t>
        </is>
      </c>
      <c r="N16" s="19" t="inlineStr">
        <is>
          <t>—</t>
        </is>
      </c>
      <c r="O16" s="22" t="inlineStr">
        <is>
          <t>PASS</t>
        </is>
      </c>
      <c r="P16" s="19" t="inlineStr">
        <is>
          <t>—</t>
        </is>
      </c>
      <c r="Q16" s="23" t="inlineStr">
        <is>
          <t>NO SOURCE</t>
        </is>
      </c>
      <c r="R16" s="23" t="inlineStr">
        <is>
          <t>NO SOURCE</t>
        </is>
      </c>
      <c r="S16" s="22" t="inlineStr">
        <is>
          <t>Pass</t>
        </is>
      </c>
      <c r="T16" s="24" t="inlineStr"/>
    </row>
    <row r="17">
      <c r="A17" s="19" t="n">
        <v>13</v>
      </c>
      <c r="B17" s="20" t="inlineStr">
        <is>
          <t>Riana Trees Residences</t>
        </is>
      </c>
      <c r="C17" s="26" t="inlineStr">
        <is>
          <t>Pass (differs)</t>
        </is>
      </c>
      <c r="D17" s="23" t="inlineStr">
        <is>
          <t>NO SOURCE</t>
        </is>
      </c>
      <c r="E17" s="19" t="inlineStr">
        <is>
          <t>—</t>
        </is>
      </c>
      <c r="F17" s="23" t="inlineStr">
        <is>
          <t>NO SOURCE</t>
        </is>
      </c>
      <c r="G17" s="23" t="inlineStr">
        <is>
          <t>NO SOURCE</t>
        </is>
      </c>
      <c r="H17" s="27" t="inlineStr">
        <is>
          <t>DIFFERS</t>
        </is>
      </c>
      <c r="I17" s="22" t="inlineStr">
        <is>
          <t>PASS</t>
        </is>
      </c>
      <c r="J17" s="22" t="inlineStr">
        <is>
          <t>PASS</t>
        </is>
      </c>
      <c r="K17" s="23" t="inlineStr">
        <is>
          <t>NO SOURCE</t>
        </is>
      </c>
      <c r="L17" s="23" t="inlineStr">
        <is>
          <t>NO SOURCE</t>
        </is>
      </c>
      <c r="M17" s="22" t="inlineStr">
        <is>
          <t>PASS</t>
        </is>
      </c>
      <c r="N17" s="23" t="inlineStr">
        <is>
          <t>NO SOURCE</t>
        </is>
      </c>
      <c r="O17" s="19" t="inlineStr">
        <is>
          <t>—</t>
        </is>
      </c>
      <c r="P17" s="19" t="inlineStr">
        <is>
          <t>—</t>
        </is>
      </c>
      <c r="Q17" s="19" t="inlineStr">
        <is>
          <t>—</t>
        </is>
      </c>
      <c r="R17" s="23" t="inlineStr">
        <is>
          <t>NO SOURCE</t>
        </is>
      </c>
      <c r="S17" s="19" t="inlineStr">
        <is>
          <t>Not run</t>
        </is>
      </c>
      <c r="T17" s="24" t="inlineStr">
        <is>
          <t>Area: Bot says "Pantai Sentral Park"; sheet says "Bangsar South"</t>
        </is>
      </c>
    </row>
    <row r="18">
      <c r="A18" s="19" t="n">
        <v>14</v>
      </c>
      <c r="B18" s="20" t="inlineStr">
        <is>
          <t>Residensi 38 Bangsar</t>
        </is>
      </c>
      <c r="C18" s="21" t="inlineStr">
        <is>
          <t>Pass</t>
        </is>
      </c>
      <c r="D18" s="23" t="inlineStr">
        <is>
          <t>NO SOURCE</t>
        </is>
      </c>
      <c r="E18" s="19" t="inlineStr">
        <is>
          <t>—</t>
        </is>
      </c>
      <c r="F18" s="23" t="inlineStr">
        <is>
          <t>NO SOURCE</t>
        </is>
      </c>
      <c r="G18" s="23" t="inlineStr">
        <is>
          <t>NO SOURCE</t>
        </is>
      </c>
      <c r="H18" s="22" t="inlineStr">
        <is>
          <t>PASS</t>
        </is>
      </c>
      <c r="I18" s="22" t="inlineStr">
        <is>
          <t>PASS</t>
        </is>
      </c>
      <c r="J18" s="23" t="inlineStr">
        <is>
          <t>NO SOURCE</t>
        </is>
      </c>
      <c r="K18" s="23" t="inlineStr">
        <is>
          <t>NO SOURCE</t>
        </is>
      </c>
      <c r="L18" s="22" t="inlineStr">
        <is>
          <t>PASS</t>
        </is>
      </c>
      <c r="M18" s="22" t="inlineStr">
        <is>
          <t>PASS</t>
        </is>
      </c>
      <c r="N18" s="22" t="inlineStr">
        <is>
          <t>PASS</t>
        </is>
      </c>
      <c r="O18" s="22" t="inlineStr">
        <is>
          <t>PASS</t>
        </is>
      </c>
      <c r="P18" s="23" t="inlineStr">
        <is>
          <t>NO SOURCE</t>
        </is>
      </c>
      <c r="Q18" s="23" t="inlineStr">
        <is>
          <t>NO SOURCE</t>
        </is>
      </c>
      <c r="R18" s="23" t="inlineStr">
        <is>
          <t>NO SOURCE</t>
        </is>
      </c>
      <c r="S18" s="22" t="inlineStr">
        <is>
          <t>Pass</t>
        </is>
      </c>
      <c r="T18" s="24" t="inlineStr"/>
    </row>
    <row r="19">
      <c r="A19" s="19" t="n">
        <v>15</v>
      </c>
      <c r="B19" s="20" t="inlineStr">
        <is>
          <t>Lunar Seputeh</t>
        </is>
      </c>
      <c r="C19" s="21" t="inlineStr">
        <is>
          <t>Pass</t>
        </is>
      </c>
      <c r="D19" s="23" t="inlineStr">
        <is>
          <t>NO SOURCE</t>
        </is>
      </c>
      <c r="E19" s="23" t="inlineStr">
        <is>
          <t>NO SOURCE</t>
        </is>
      </c>
      <c r="F19" s="23" t="inlineStr">
        <is>
          <t>NO SOURCE</t>
        </is>
      </c>
      <c r="G19" s="23" t="inlineStr">
        <is>
          <t>NO SOURCE</t>
        </is>
      </c>
      <c r="H19" s="22" t="inlineStr">
        <is>
          <t>PASS</t>
        </is>
      </c>
      <c r="I19" s="22" t="inlineStr">
        <is>
          <t>PASS</t>
        </is>
      </c>
      <c r="J19" s="22" t="inlineStr">
        <is>
          <t>PASS</t>
        </is>
      </c>
      <c r="K19" s="19" t="inlineStr">
        <is>
          <t>—</t>
        </is>
      </c>
      <c r="L19" s="22" t="inlineStr">
        <is>
          <t>PASS</t>
        </is>
      </c>
      <c r="M19" s="22" t="inlineStr">
        <is>
          <t>PASS</t>
        </is>
      </c>
      <c r="N19" s="22" t="inlineStr">
        <is>
          <t>PASS</t>
        </is>
      </c>
      <c r="O19" s="22" t="inlineStr">
        <is>
          <t>PASS</t>
        </is>
      </c>
      <c r="P19" s="23" t="inlineStr">
        <is>
          <t>NO SOURCE</t>
        </is>
      </c>
      <c r="Q19" s="19" t="inlineStr">
        <is>
          <t>—</t>
        </is>
      </c>
      <c r="R19" s="19" t="inlineStr">
        <is>
          <t>—</t>
        </is>
      </c>
      <c r="S19" s="22" t="inlineStr">
        <is>
          <t>Pass</t>
        </is>
      </c>
      <c r="T19" s="24" t="inlineStr"/>
    </row>
    <row r="20">
      <c r="A20" s="19" t="n">
        <v>16</v>
      </c>
      <c r="B20" s="20" t="inlineStr">
        <is>
          <t>Sentral Suites @ KL Sentral</t>
        </is>
      </c>
      <c r="C20" s="21" t="inlineStr">
        <is>
          <t>Pass</t>
        </is>
      </c>
      <c r="D20" s="23" t="inlineStr">
        <is>
          <t>NO SOURCE</t>
        </is>
      </c>
      <c r="E20" s="23" t="inlineStr">
        <is>
          <t>NO SOURCE</t>
        </is>
      </c>
      <c r="F20" s="23" t="inlineStr">
        <is>
          <t>NO SOURCE</t>
        </is>
      </c>
      <c r="G20" s="23" t="inlineStr">
        <is>
          <t>NO SOURCE</t>
        </is>
      </c>
      <c r="H20" s="22" t="inlineStr">
        <is>
          <t>PASS</t>
        </is>
      </c>
      <c r="I20" s="22" t="inlineStr">
        <is>
          <t>PASS</t>
        </is>
      </c>
      <c r="J20" s="22" t="inlineStr">
        <is>
          <t>PASS</t>
        </is>
      </c>
      <c r="K20" s="22" t="inlineStr">
        <is>
          <t>PASS</t>
        </is>
      </c>
      <c r="L20" s="23" t="inlineStr">
        <is>
          <t>NO SOURCE</t>
        </is>
      </c>
      <c r="M20" s="23" t="inlineStr">
        <is>
          <t>NO SOURCE</t>
        </is>
      </c>
      <c r="N20" s="23" t="inlineStr">
        <is>
          <t>NO SOURCE</t>
        </is>
      </c>
      <c r="O20" s="22" t="inlineStr">
        <is>
          <t>PASS</t>
        </is>
      </c>
      <c r="P20" s="22" t="inlineStr">
        <is>
          <t>PASS</t>
        </is>
      </c>
      <c r="Q20" s="23" t="inlineStr">
        <is>
          <t>NO SOURCE</t>
        </is>
      </c>
      <c r="R20" s="19" t="inlineStr">
        <is>
          <t>—</t>
        </is>
      </c>
      <c r="S20" s="19" t="inlineStr">
        <is>
          <t>Not run</t>
        </is>
      </c>
      <c r="T20" s="24" t="inlineStr"/>
    </row>
    <row r="21">
      <c r="A21" s="19" t="n">
        <v>17</v>
      </c>
      <c r="B21" s="20" t="inlineStr">
        <is>
          <t>The Cedar Damansara Heights</t>
        </is>
      </c>
      <c r="C21" s="21" t="inlineStr">
        <is>
          <t>Pass</t>
        </is>
      </c>
      <c r="D21" s="23" t="inlineStr">
        <is>
          <t>NO SOURCE</t>
        </is>
      </c>
      <c r="E21" s="19" t="inlineStr">
        <is>
          <t>—</t>
        </is>
      </c>
      <c r="F21" s="23" t="inlineStr">
        <is>
          <t>NO SOURCE</t>
        </is>
      </c>
      <c r="G21" s="23" t="inlineStr">
        <is>
          <t>NO SOURCE</t>
        </is>
      </c>
      <c r="H21" s="22" t="inlineStr">
        <is>
          <t>PASS</t>
        </is>
      </c>
      <c r="I21" s="23" t="inlineStr">
        <is>
          <t>NO SOURCE</t>
        </is>
      </c>
      <c r="J21" s="23" t="inlineStr">
        <is>
          <t>NO SOURCE</t>
        </is>
      </c>
      <c r="K21" s="22" t="inlineStr">
        <is>
          <t>PASS</t>
        </is>
      </c>
      <c r="L21" s="22" t="inlineStr">
        <is>
          <t>PASS</t>
        </is>
      </c>
      <c r="M21" s="23" t="inlineStr">
        <is>
          <t>NO SOURCE</t>
        </is>
      </c>
      <c r="N21" s="19" t="inlineStr">
        <is>
          <t>—</t>
        </is>
      </c>
      <c r="O21" s="22" t="inlineStr">
        <is>
          <t>PASS</t>
        </is>
      </c>
      <c r="P21" s="19" t="inlineStr">
        <is>
          <t>—</t>
        </is>
      </c>
      <c r="Q21" s="19" t="inlineStr">
        <is>
          <t>—</t>
        </is>
      </c>
      <c r="R21" s="23" t="inlineStr">
        <is>
          <t>NO SOURCE</t>
        </is>
      </c>
      <c r="S21" s="19" t="inlineStr">
        <is>
          <t>Not run</t>
        </is>
      </c>
      <c r="T21" s="24" t="inlineStr"/>
    </row>
    <row r="22">
      <c r="A22" s="19" t="n">
        <v>18</v>
      </c>
      <c r="B22" s="20" t="inlineStr">
        <is>
          <t>Tria Seputeh</t>
        </is>
      </c>
      <c r="C22" s="21" t="inlineStr">
        <is>
          <t>Pass</t>
        </is>
      </c>
      <c r="D22" s="23" t="inlineStr">
        <is>
          <t>NO SOURCE</t>
        </is>
      </c>
      <c r="E22" s="19" t="inlineStr">
        <is>
          <t>—</t>
        </is>
      </c>
      <c r="F22" s="23" t="inlineStr">
        <is>
          <t>NO SOURCE</t>
        </is>
      </c>
      <c r="G22" s="23" t="inlineStr">
        <is>
          <t>NO SOURCE</t>
        </is>
      </c>
      <c r="H22" s="22" t="inlineStr">
        <is>
          <t>PASS</t>
        </is>
      </c>
      <c r="I22" s="22" t="inlineStr">
        <is>
          <t>PASS</t>
        </is>
      </c>
      <c r="J22" s="19" t="inlineStr">
        <is>
          <t>—</t>
        </is>
      </c>
      <c r="K22" s="22" t="inlineStr">
        <is>
          <t>PASS</t>
        </is>
      </c>
      <c r="L22" s="22" t="inlineStr">
        <is>
          <t>PASS</t>
        </is>
      </c>
      <c r="M22" s="23" t="inlineStr">
        <is>
          <t>NO SOURCE</t>
        </is>
      </c>
      <c r="N22" s="23" t="inlineStr">
        <is>
          <t>NO SOURCE</t>
        </is>
      </c>
      <c r="O22" s="22" t="inlineStr">
        <is>
          <t>PASS</t>
        </is>
      </c>
      <c r="P22" s="19" t="inlineStr">
        <is>
          <t>—</t>
        </is>
      </c>
      <c r="Q22" s="23" t="inlineStr">
        <is>
          <t>NO SOURCE</t>
        </is>
      </c>
      <c r="R22" s="19" t="inlineStr">
        <is>
          <t>—</t>
        </is>
      </c>
      <c r="S22" s="22" t="inlineStr">
        <is>
          <t>Pass</t>
        </is>
      </c>
      <c r="T22" s="24" t="inlineStr"/>
    </row>
    <row r="23">
      <c r="A23" s="19" t="n">
        <v>19</v>
      </c>
      <c r="B23" s="20" t="inlineStr">
        <is>
          <t>d'Brightton titiwangsa</t>
        </is>
      </c>
      <c r="C23" s="21" t="inlineStr">
        <is>
          <t>Pass</t>
        </is>
      </c>
      <c r="D23" s="23" t="inlineStr">
        <is>
          <t>NO SOURCE</t>
        </is>
      </c>
      <c r="E23" s="23" t="inlineStr">
        <is>
          <t>NO SOURCE</t>
        </is>
      </c>
      <c r="F23" s="23" t="inlineStr">
        <is>
          <t>NO SOURCE</t>
        </is>
      </c>
      <c r="G23" s="23" t="inlineStr">
        <is>
          <t>NO SOURCE</t>
        </is>
      </c>
      <c r="H23" s="22" t="inlineStr">
        <is>
          <t>PASS</t>
        </is>
      </c>
      <c r="I23" s="22" t="inlineStr">
        <is>
          <t>PASS</t>
        </is>
      </c>
      <c r="J23" s="23" t="inlineStr">
        <is>
          <t>NO SOURCE</t>
        </is>
      </c>
      <c r="K23" s="22" t="inlineStr">
        <is>
          <t>PASS</t>
        </is>
      </c>
      <c r="L23" s="22" t="inlineStr">
        <is>
          <t>PASS</t>
        </is>
      </c>
      <c r="M23" s="22" t="inlineStr">
        <is>
          <t>PASS</t>
        </is>
      </c>
      <c r="N23" s="19" t="inlineStr">
        <is>
          <t>—</t>
        </is>
      </c>
      <c r="O23" s="22" t="inlineStr">
        <is>
          <t>PASS</t>
        </is>
      </c>
      <c r="P23" s="23" t="inlineStr">
        <is>
          <t>NO SOURCE</t>
        </is>
      </c>
      <c r="Q23" s="19" t="inlineStr">
        <is>
          <t>—</t>
        </is>
      </c>
      <c r="R23" s="23" t="inlineStr">
        <is>
          <t>NO SOURCE</t>
        </is>
      </c>
      <c r="S23" s="28" t="inlineStr">
        <is>
          <t>Fail</t>
        </is>
      </c>
      <c r="T23" s="24" t="inlineStr"/>
    </row>
    <row r="24">
      <c r="A24" s="19" t="n">
        <v>20</v>
      </c>
      <c r="B24" s="20" t="inlineStr">
        <is>
          <t>IJM Sierra Hijauan</t>
        </is>
      </c>
      <c r="C24" s="21" t="inlineStr">
        <is>
          <t>Pass</t>
        </is>
      </c>
      <c r="D24" s="19" t="inlineStr">
        <is>
          <t>—</t>
        </is>
      </c>
      <c r="E24" s="19" t="inlineStr">
        <is>
          <t>—</t>
        </is>
      </c>
      <c r="F24" s="23" t="inlineStr">
        <is>
          <t>NO SOURCE</t>
        </is>
      </c>
      <c r="G24" s="23" t="inlineStr">
        <is>
          <t>NO SOURCE</t>
        </is>
      </c>
      <c r="H24" s="22" t="inlineStr">
        <is>
          <t>PASS</t>
        </is>
      </c>
      <c r="I24" s="22" t="inlineStr">
        <is>
          <t>PASS</t>
        </is>
      </c>
      <c r="J24" s="22" t="inlineStr">
        <is>
          <t>PASS</t>
        </is>
      </c>
      <c r="K24" s="22" t="inlineStr">
        <is>
          <t>PASS</t>
        </is>
      </c>
      <c r="L24" s="22" t="inlineStr">
        <is>
          <t>PASS</t>
        </is>
      </c>
      <c r="M24" s="22" t="inlineStr">
        <is>
          <t>PASS</t>
        </is>
      </c>
      <c r="N24" s="19" t="inlineStr">
        <is>
          <t>—</t>
        </is>
      </c>
      <c r="O24" s="22" t="inlineStr">
        <is>
          <t>PASS</t>
        </is>
      </c>
      <c r="P24" s="19" t="inlineStr">
        <is>
          <t>—</t>
        </is>
      </c>
      <c r="Q24" s="23" t="inlineStr">
        <is>
          <t>NO SOURCE</t>
        </is>
      </c>
      <c r="R24" s="19" t="inlineStr">
        <is>
          <t>—</t>
        </is>
      </c>
      <c r="S24" s="19" t="inlineStr">
        <is>
          <t>Not run</t>
        </is>
      </c>
      <c r="T24" s="24" t="inlineStr"/>
    </row>
    <row r="25">
      <c r="A25" s="19" t="n">
        <v>21</v>
      </c>
      <c r="B25" s="20" t="inlineStr">
        <is>
          <t>Puncak Wangsamas Phase 2</t>
        </is>
      </c>
      <c r="C25" s="21" t="inlineStr">
        <is>
          <t>Pass</t>
        </is>
      </c>
      <c r="D25" s="22" t="inlineStr">
        <is>
          <t>PASS</t>
        </is>
      </c>
      <c r="E25" s="22" t="inlineStr">
        <is>
          <t>PASS</t>
        </is>
      </c>
      <c r="F25" s="22" t="inlineStr">
        <is>
          <t>PASS</t>
        </is>
      </c>
      <c r="G25" s="19" t="inlineStr">
        <is>
          <t>—</t>
        </is>
      </c>
      <c r="H25" s="22" t="inlineStr">
        <is>
          <t>PASS</t>
        </is>
      </c>
      <c r="I25" s="22" t="inlineStr">
        <is>
          <t>PASS</t>
        </is>
      </c>
      <c r="J25" s="22" t="inlineStr">
        <is>
          <t>PASS</t>
        </is>
      </c>
      <c r="K25" s="23" t="inlineStr">
        <is>
          <t>NO SOURCE</t>
        </is>
      </c>
      <c r="L25" s="22" t="inlineStr">
        <is>
          <t>PASS</t>
        </is>
      </c>
      <c r="M25" s="22" t="inlineStr">
        <is>
          <t>PASS</t>
        </is>
      </c>
      <c r="N25" s="23" t="inlineStr">
        <is>
          <t>NO SOURCE</t>
        </is>
      </c>
      <c r="O25" s="23" t="inlineStr">
        <is>
          <t>NO SOURCE</t>
        </is>
      </c>
      <c r="P25" s="23" t="inlineStr">
        <is>
          <t>NO SOURCE</t>
        </is>
      </c>
      <c r="Q25" s="19" t="inlineStr">
        <is>
          <t>—</t>
        </is>
      </c>
      <c r="R25" s="19" t="inlineStr">
        <is>
          <t>—</t>
        </is>
      </c>
      <c r="S25" s="19" t="inlineStr">
        <is>
          <t>Not run</t>
        </is>
      </c>
      <c r="T25" s="24" t="inlineStr"/>
    </row>
    <row r="26">
      <c r="A26" s="19" t="n">
        <v>22</v>
      </c>
      <c r="B26" s="20" t="inlineStr">
        <is>
          <t>The Reya</t>
        </is>
      </c>
      <c r="C26" s="21" t="inlineStr">
        <is>
          <t>Pass</t>
        </is>
      </c>
      <c r="D26" s="23" t="inlineStr">
        <is>
          <t>NO SOURCE</t>
        </is>
      </c>
      <c r="E26" s="19" t="inlineStr">
        <is>
          <t>—</t>
        </is>
      </c>
      <c r="F26" s="23" t="inlineStr">
        <is>
          <t>NO SOURCE</t>
        </is>
      </c>
      <c r="G26" s="23" t="inlineStr">
        <is>
          <t>NO SOURCE</t>
        </is>
      </c>
      <c r="H26" s="22" t="inlineStr">
        <is>
          <t>PASS</t>
        </is>
      </c>
      <c r="I26" s="22" t="inlineStr">
        <is>
          <t>PASS</t>
        </is>
      </c>
      <c r="J26" s="23" t="inlineStr">
        <is>
          <t>NO SOURCE</t>
        </is>
      </c>
      <c r="K26" s="22" t="inlineStr">
        <is>
          <t>PASS</t>
        </is>
      </c>
      <c r="L26" s="22" t="inlineStr">
        <is>
          <t>PASS</t>
        </is>
      </c>
      <c r="M26" s="23" t="inlineStr">
        <is>
          <t>NO SOURCE</t>
        </is>
      </c>
      <c r="N26" s="23" t="inlineStr">
        <is>
          <t>NO SOURCE</t>
        </is>
      </c>
      <c r="O26" s="19" t="inlineStr">
        <is>
          <t>—</t>
        </is>
      </c>
      <c r="P26" s="23" t="inlineStr">
        <is>
          <t>NO SOURCE</t>
        </is>
      </c>
      <c r="Q26" s="23" t="inlineStr">
        <is>
          <t>NO SOURCE</t>
        </is>
      </c>
      <c r="R26" s="23" t="inlineStr">
        <is>
          <t>NO SOURCE</t>
        </is>
      </c>
      <c r="S26" s="19" t="inlineStr">
        <is>
          <t>Not run</t>
        </is>
      </c>
      <c r="T26" s="24" t="inlineStr"/>
    </row>
    <row r="27">
      <c r="A27" s="19" t="n">
        <v>23</v>
      </c>
      <c r="B27" s="20" t="inlineStr">
        <is>
          <t>Padang Residences</t>
        </is>
      </c>
      <c r="C27" s="21" t="inlineStr">
        <is>
          <t>Pass</t>
        </is>
      </c>
      <c r="D27" s="23" t="inlineStr">
        <is>
          <t>NO SOURCE</t>
        </is>
      </c>
      <c r="E27" s="19" t="inlineStr">
        <is>
          <t>—</t>
        </is>
      </c>
      <c r="F27" s="23" t="inlineStr">
        <is>
          <t>NO SOURCE</t>
        </is>
      </c>
      <c r="G27" s="23" t="inlineStr">
        <is>
          <t>NO SOURCE</t>
        </is>
      </c>
      <c r="H27" s="22" t="inlineStr">
        <is>
          <t>PASS</t>
        </is>
      </c>
      <c r="I27" s="22" t="inlineStr">
        <is>
          <t>PASS</t>
        </is>
      </c>
      <c r="J27" s="22" t="inlineStr">
        <is>
          <t>PASS</t>
        </is>
      </c>
      <c r="K27" s="22" t="inlineStr">
        <is>
          <t>PASS</t>
        </is>
      </c>
      <c r="L27" s="22" t="inlineStr">
        <is>
          <t>PASS</t>
        </is>
      </c>
      <c r="M27" s="22" t="inlineStr">
        <is>
          <t>PASS</t>
        </is>
      </c>
      <c r="N27" s="22" t="inlineStr">
        <is>
          <t>PASS</t>
        </is>
      </c>
      <c r="O27" s="22" t="inlineStr">
        <is>
          <t>PASS</t>
        </is>
      </c>
      <c r="P27" s="23" t="inlineStr">
        <is>
          <t>NO SOURCE</t>
        </is>
      </c>
      <c r="Q27" s="23" t="inlineStr">
        <is>
          <t>NO SOURCE</t>
        </is>
      </c>
      <c r="R27" s="23" t="inlineStr">
        <is>
          <t>NO SOURCE</t>
        </is>
      </c>
      <c r="S27" s="19" t="inlineStr">
        <is>
          <t>Not run</t>
        </is>
      </c>
      <c r="T27" s="24" t="inlineStr"/>
    </row>
    <row r="28">
      <c r="A28" s="19" t="n">
        <v>24</v>
      </c>
      <c r="B28" s="20" t="inlineStr">
        <is>
          <t>Tangen Residences</t>
        </is>
      </c>
      <c r="C28" s="21" t="inlineStr">
        <is>
          <t>Pass</t>
        </is>
      </c>
      <c r="D28" s="23" t="inlineStr">
        <is>
          <t>NO SOURCE</t>
        </is>
      </c>
      <c r="E28" s="19" t="inlineStr">
        <is>
          <t>—</t>
        </is>
      </c>
      <c r="F28" s="23" t="inlineStr">
        <is>
          <t>NO SOURCE</t>
        </is>
      </c>
      <c r="G28" s="23" t="inlineStr">
        <is>
          <t>NO SOURCE</t>
        </is>
      </c>
      <c r="H28" s="22" t="inlineStr">
        <is>
          <t>PASS</t>
        </is>
      </c>
      <c r="I28" s="22" t="inlineStr">
        <is>
          <t>PASS</t>
        </is>
      </c>
      <c r="J28" s="22" t="inlineStr">
        <is>
          <t>PASS</t>
        </is>
      </c>
      <c r="K28" s="22" t="inlineStr">
        <is>
          <t>PASS</t>
        </is>
      </c>
      <c r="L28" s="22" t="inlineStr">
        <is>
          <t>PASS</t>
        </is>
      </c>
      <c r="M28" s="22" t="inlineStr">
        <is>
          <t>PASS</t>
        </is>
      </c>
      <c r="N28" s="22" t="inlineStr">
        <is>
          <t>PASS</t>
        </is>
      </c>
      <c r="O28" s="22" t="inlineStr">
        <is>
          <t>PASS</t>
        </is>
      </c>
      <c r="P28" s="19" t="inlineStr">
        <is>
          <t>—</t>
        </is>
      </c>
      <c r="Q28" s="23" t="inlineStr">
        <is>
          <t>NO SOURCE</t>
        </is>
      </c>
      <c r="R28" s="23" t="inlineStr">
        <is>
          <t>NO SOURCE</t>
        </is>
      </c>
      <c r="S28" s="22" t="inlineStr">
        <is>
          <t>Pass</t>
        </is>
      </c>
      <c r="T28" s="24" t="inlineStr"/>
    </row>
    <row r="29">
      <c r="A29" s="19" t="n">
        <v>25</v>
      </c>
      <c r="B29" s="20" t="inlineStr">
        <is>
          <t>Miranda Hill @ north kiara by BRDB</t>
        </is>
      </c>
      <c r="C29" s="21" t="inlineStr">
        <is>
          <t>Pass</t>
        </is>
      </c>
      <c r="D29" s="23" t="inlineStr">
        <is>
          <t>NO SOURCE</t>
        </is>
      </c>
      <c r="E29" s="23" t="inlineStr">
        <is>
          <t>NO SOURCE</t>
        </is>
      </c>
      <c r="F29" s="23" t="inlineStr">
        <is>
          <t>NO SOURCE</t>
        </is>
      </c>
      <c r="G29" s="23" t="inlineStr">
        <is>
          <t>NO SOURCE</t>
        </is>
      </c>
      <c r="H29" s="22" t="inlineStr">
        <is>
          <t>PASS</t>
        </is>
      </c>
      <c r="I29" s="22" t="inlineStr">
        <is>
          <t>PASS</t>
        </is>
      </c>
      <c r="J29" s="22" t="inlineStr">
        <is>
          <t>PASS</t>
        </is>
      </c>
      <c r="K29" s="23" t="inlineStr">
        <is>
          <t>NO SOURCE</t>
        </is>
      </c>
      <c r="L29" s="22" t="inlineStr">
        <is>
          <t>PASS</t>
        </is>
      </c>
      <c r="M29" s="22" t="inlineStr">
        <is>
          <t>PASS</t>
        </is>
      </c>
      <c r="N29" s="23" t="inlineStr">
        <is>
          <t>NO SOURCE</t>
        </is>
      </c>
      <c r="O29" s="22" t="inlineStr">
        <is>
          <t>PASS</t>
        </is>
      </c>
      <c r="P29" s="23" t="inlineStr">
        <is>
          <t>NO SOURCE</t>
        </is>
      </c>
      <c r="Q29" s="23" t="inlineStr">
        <is>
          <t>NO SOURCE</t>
        </is>
      </c>
      <c r="R29" s="23" t="inlineStr">
        <is>
          <t>NO SOURCE</t>
        </is>
      </c>
      <c r="S29" s="22" t="inlineStr">
        <is>
          <t>Pass</t>
        </is>
      </c>
      <c r="T29" s="24" t="inlineStr"/>
    </row>
    <row r="30">
      <c r="A30" s="19" t="n">
        <v>26</v>
      </c>
      <c r="B30" s="20" t="inlineStr">
        <is>
          <t>Alstonia Hilltop Homes</t>
        </is>
      </c>
      <c r="C30" s="21" t="inlineStr">
        <is>
          <t>Pass</t>
        </is>
      </c>
      <c r="D30" s="23" t="inlineStr">
        <is>
          <t>NO SOURCE</t>
        </is>
      </c>
      <c r="E30" s="19" t="inlineStr">
        <is>
          <t>—</t>
        </is>
      </c>
      <c r="F30" s="23" t="inlineStr">
        <is>
          <t>NO SOURCE</t>
        </is>
      </c>
      <c r="G30" s="23" t="inlineStr">
        <is>
          <t>NO SOURCE</t>
        </is>
      </c>
      <c r="H30" s="22" t="inlineStr">
        <is>
          <t>PASS</t>
        </is>
      </c>
      <c r="I30" s="22" t="inlineStr">
        <is>
          <t>PASS</t>
        </is>
      </c>
      <c r="J30" s="22" t="inlineStr">
        <is>
          <t>PASS</t>
        </is>
      </c>
      <c r="K30" s="23" t="inlineStr">
        <is>
          <t>NO SOURCE</t>
        </is>
      </c>
      <c r="L30" s="22" t="inlineStr">
        <is>
          <t>PASS</t>
        </is>
      </c>
      <c r="M30" s="22" t="inlineStr">
        <is>
          <t>PASS</t>
        </is>
      </c>
      <c r="N30" s="23" t="inlineStr">
        <is>
          <t>NO SOURCE</t>
        </is>
      </c>
      <c r="O30" s="22" t="inlineStr">
        <is>
          <t>PASS</t>
        </is>
      </c>
      <c r="P30" s="19" t="inlineStr">
        <is>
          <t>—</t>
        </is>
      </c>
      <c r="Q30" s="19" t="inlineStr">
        <is>
          <t>—</t>
        </is>
      </c>
      <c r="R30" s="19" t="inlineStr">
        <is>
          <t>—</t>
        </is>
      </c>
      <c r="S30" s="28" t="inlineStr">
        <is>
          <t>Fail</t>
        </is>
      </c>
      <c r="T30" s="24" t="inlineStr"/>
    </row>
    <row r="31">
      <c r="A31" s="19" t="n">
        <v>27</v>
      </c>
      <c r="B31" s="20" t="inlineStr">
        <is>
          <t>Binastra Cochrane</t>
        </is>
      </c>
      <c r="C31" s="21" t="inlineStr">
        <is>
          <t>Pass</t>
        </is>
      </c>
      <c r="D31" s="19" t="inlineStr">
        <is>
          <t>—</t>
        </is>
      </c>
      <c r="E31" s="19" t="inlineStr">
        <is>
          <t>—</t>
        </is>
      </c>
      <c r="F31" s="19" t="inlineStr">
        <is>
          <t>—</t>
        </is>
      </c>
      <c r="G31" s="19" t="inlineStr">
        <is>
          <t>—</t>
        </is>
      </c>
      <c r="H31" s="19" t="inlineStr">
        <is>
          <t>—</t>
        </is>
      </c>
      <c r="I31" s="19" t="inlineStr">
        <is>
          <t>—</t>
        </is>
      </c>
      <c r="J31" s="19" t="inlineStr">
        <is>
          <t>—</t>
        </is>
      </c>
      <c r="K31" s="19" t="inlineStr">
        <is>
          <t>—</t>
        </is>
      </c>
      <c r="L31" s="19" t="inlineStr">
        <is>
          <t>—</t>
        </is>
      </c>
      <c r="M31" s="19" t="inlineStr">
        <is>
          <t>—</t>
        </is>
      </c>
      <c r="N31" s="19" t="inlineStr">
        <is>
          <t>—</t>
        </is>
      </c>
      <c r="O31" s="19" t="inlineStr">
        <is>
          <t>—</t>
        </is>
      </c>
      <c r="P31" s="19" t="inlineStr">
        <is>
          <t>—</t>
        </is>
      </c>
      <c r="Q31" s="19" t="inlineStr">
        <is>
          <t>—</t>
        </is>
      </c>
      <c r="R31" s="19" t="inlineStr">
        <is>
          <t>—</t>
        </is>
      </c>
      <c r="S31" s="25" t="inlineStr">
        <is>
          <t>Needs ruling</t>
        </is>
      </c>
      <c r="T31" s="24" t="inlineStr">
        <is>
          <t>Correctly says it is not in D2 inventory</t>
        </is>
      </c>
    </row>
    <row r="32">
      <c r="A32" s="19" t="n">
        <v>28</v>
      </c>
      <c r="B32" s="20" t="inlineStr">
        <is>
          <t>Eden BRDB, Taman Duta</t>
        </is>
      </c>
      <c r="C32" s="21" t="inlineStr">
        <is>
          <t>Pass</t>
        </is>
      </c>
      <c r="D32" s="22" t="inlineStr">
        <is>
          <t>PASS</t>
        </is>
      </c>
      <c r="E32" s="22" t="inlineStr">
        <is>
          <t>PASS</t>
        </is>
      </c>
      <c r="F32" s="22" t="inlineStr">
        <is>
          <t>PASS</t>
        </is>
      </c>
      <c r="G32" s="22" t="inlineStr">
        <is>
          <t>PASS</t>
        </is>
      </c>
      <c r="H32" s="22" t="inlineStr">
        <is>
          <t>PASS</t>
        </is>
      </c>
      <c r="I32" s="22" t="inlineStr">
        <is>
          <t>PASS</t>
        </is>
      </c>
      <c r="J32" s="19" t="inlineStr">
        <is>
          <t>—</t>
        </is>
      </c>
      <c r="K32" s="22" t="inlineStr">
        <is>
          <t>PASS</t>
        </is>
      </c>
      <c r="L32" s="22" t="inlineStr">
        <is>
          <t>PASS</t>
        </is>
      </c>
      <c r="M32" s="22" t="inlineStr">
        <is>
          <t>PASS</t>
        </is>
      </c>
      <c r="N32" s="22" t="inlineStr">
        <is>
          <t>PASS</t>
        </is>
      </c>
      <c r="O32" s="22" t="inlineStr">
        <is>
          <t>PASS</t>
        </is>
      </c>
      <c r="P32" s="23" t="inlineStr">
        <is>
          <t>NO SOURCE</t>
        </is>
      </c>
      <c r="Q32" s="19" t="inlineStr">
        <is>
          <t>—</t>
        </is>
      </c>
      <c r="R32" s="23" t="inlineStr">
        <is>
          <t>NO SOURCE</t>
        </is>
      </c>
      <c r="S32" s="19" t="inlineStr">
        <is>
          <t>Not run</t>
        </is>
      </c>
      <c r="T32" s="24" t="inlineStr"/>
    </row>
    <row r="33">
      <c r="A33" s="19" t="n">
        <v>29</v>
      </c>
      <c r="B33" s="20" t="inlineStr">
        <is>
          <t>Majestic @ Kiara Reserve</t>
        </is>
      </c>
      <c r="C33" s="29" t="inlineStr">
        <is>
          <t>Needs ruling</t>
        </is>
      </c>
      <c r="D33" s="23" t="inlineStr">
        <is>
          <t>NO SOURCE</t>
        </is>
      </c>
      <c r="E33" s="23" t="inlineStr">
        <is>
          <t>NO SOURCE</t>
        </is>
      </c>
      <c r="F33" s="23" t="inlineStr">
        <is>
          <t>NO SOURCE</t>
        </is>
      </c>
      <c r="G33" s="23" t="inlineStr">
        <is>
          <t>NO SOURCE</t>
        </is>
      </c>
      <c r="H33" s="23" t="inlineStr">
        <is>
          <t>NO SOURCE</t>
        </is>
      </c>
      <c r="I33" s="25" t="inlineStr">
        <is>
          <t>CONFLICT</t>
        </is>
      </c>
      <c r="J33" s="22" t="inlineStr">
        <is>
          <t>PASS</t>
        </is>
      </c>
      <c r="K33" s="22" t="inlineStr">
        <is>
          <t>PASS</t>
        </is>
      </c>
      <c r="L33" s="22" t="inlineStr">
        <is>
          <t>PASS</t>
        </is>
      </c>
      <c r="M33" s="23" t="inlineStr">
        <is>
          <t>NO SOURCE</t>
        </is>
      </c>
      <c r="N33" s="19" t="inlineStr">
        <is>
          <t>—</t>
        </is>
      </c>
      <c r="O33" s="22" t="inlineStr">
        <is>
          <t>PASS</t>
        </is>
      </c>
      <c r="P33" s="23" t="inlineStr">
        <is>
          <t>NO SOURCE</t>
        </is>
      </c>
      <c r="Q33" s="23" t="inlineStr">
        <is>
          <t>NO SOURCE</t>
        </is>
      </c>
      <c r="R33" s="23" t="inlineStr">
        <is>
          <t>NO SOURCE</t>
        </is>
      </c>
      <c r="S33" s="19" t="inlineStr">
        <is>
          <t>Not run</t>
        </is>
      </c>
      <c r="T33" s="24" t="inlineStr">
        <is>
          <t>Developer: Bot repeats the sheet (Excellent Bonanza / GSH), but that value looks like St. Regis's developer: rows 91-93 look offset by one</t>
        </is>
      </c>
    </row>
    <row r="34">
      <c r="A34" s="19" t="n">
        <v>30</v>
      </c>
      <c r="B34" s="20" t="inlineStr">
        <is>
          <t>St. Regis Residences Kuala Lumpur</t>
        </is>
      </c>
      <c r="C34" s="29" t="inlineStr">
        <is>
          <t>Needs ruling</t>
        </is>
      </c>
      <c r="D34" s="23" t="inlineStr">
        <is>
          <t>NO SOURCE</t>
        </is>
      </c>
      <c r="E34" s="23" t="inlineStr">
        <is>
          <t>NO SOURCE</t>
        </is>
      </c>
      <c r="F34" s="23" t="inlineStr">
        <is>
          <t>NO SOURCE</t>
        </is>
      </c>
      <c r="G34" s="23" t="inlineStr">
        <is>
          <t>NO SOURCE</t>
        </is>
      </c>
      <c r="H34" s="23" t="inlineStr">
        <is>
          <t>NO SOURCE</t>
        </is>
      </c>
      <c r="I34" s="25" t="inlineStr">
        <is>
          <t>CONFLICT</t>
        </is>
      </c>
      <c r="J34" s="19" t="inlineStr">
        <is>
          <t>—</t>
        </is>
      </c>
      <c r="K34" s="19" t="inlineStr">
        <is>
          <t>—</t>
        </is>
      </c>
      <c r="L34" s="22" t="inlineStr">
        <is>
          <t>PASS</t>
        </is>
      </c>
      <c r="M34" s="19" t="inlineStr">
        <is>
          <t>—</t>
        </is>
      </c>
      <c r="N34" s="22" t="inlineStr">
        <is>
          <t>PASS</t>
        </is>
      </c>
      <c r="O34" s="22" t="inlineStr">
        <is>
          <t>PASS</t>
        </is>
      </c>
      <c r="P34" s="19" t="inlineStr">
        <is>
          <t>—</t>
        </is>
      </c>
      <c r="Q34" s="23" t="inlineStr">
        <is>
          <t>NO SOURCE</t>
        </is>
      </c>
      <c r="R34" s="23" t="inlineStr">
        <is>
          <t>NO SOURCE</t>
        </is>
      </c>
      <c r="S34" s="19" t="inlineStr">
        <is>
          <t>Not run</t>
        </is>
      </c>
      <c r="T34" s="24" t="inlineStr">
        <is>
          <t>Developer: Sheet: UOA; bot: Excellent Bonanza (GSH), from the St. Regis write-up. The sheet has that value in Majestic's row (91); rows 91-93 look offset by one</t>
        </is>
      </c>
    </row>
    <row r="35">
      <c r="A35" s="19" t="n">
        <v>31</v>
      </c>
      <c r="B35" s="20" t="inlineStr">
        <is>
          <t>Aster Hill Sri Petaling</t>
        </is>
      </c>
      <c r="C35" s="29" t="inlineStr">
        <is>
          <t>Needs ruling</t>
        </is>
      </c>
      <c r="D35" s="23" t="inlineStr">
        <is>
          <t>NO SOURCE</t>
        </is>
      </c>
      <c r="E35" s="19" t="inlineStr">
        <is>
          <t>—</t>
        </is>
      </c>
      <c r="F35" s="23" t="inlineStr">
        <is>
          <t>NO SOURCE</t>
        </is>
      </c>
      <c r="G35" s="23" t="inlineStr">
        <is>
          <t>NO SOURCE</t>
        </is>
      </c>
      <c r="H35" s="22" t="inlineStr">
        <is>
          <t>PASS</t>
        </is>
      </c>
      <c r="I35" s="25" t="inlineStr">
        <is>
          <t>CONFLICT</t>
        </is>
      </c>
      <c r="J35" s="22" t="inlineStr">
        <is>
          <t>PASS</t>
        </is>
      </c>
      <c r="K35" s="22" t="inlineStr">
        <is>
          <t>PASS</t>
        </is>
      </c>
      <c r="L35" s="22" t="inlineStr">
        <is>
          <t>PASS</t>
        </is>
      </c>
      <c r="M35" s="22" t="inlineStr">
        <is>
          <t>PASS</t>
        </is>
      </c>
      <c r="N35" s="23" t="inlineStr">
        <is>
          <t>NO SOURCE</t>
        </is>
      </c>
      <c r="O35" s="22" t="inlineStr">
        <is>
          <t>PASS</t>
        </is>
      </c>
      <c r="P35" s="23" t="inlineStr">
        <is>
          <t>NO SOURCE</t>
        </is>
      </c>
      <c r="Q35" s="23" t="inlineStr">
        <is>
          <t>NO SOURCE</t>
        </is>
      </c>
      <c r="R35" s="23" t="inlineStr">
        <is>
          <t>NO SOURCE</t>
        </is>
      </c>
      <c r="S35" s="19" t="inlineStr">
        <is>
          <t>Not run</t>
        </is>
      </c>
      <c r="T35" s="24" t="inlineStr">
        <is>
          <t>Developer: Sheet: SCP; bot: UOA, from the Aster Hill write-up. The sheet has that value in St. Regis's row (92); rows 91-93 look offset by one</t>
        </is>
      </c>
    </row>
    <row r="36">
      <c r="A36" s="19" t="n">
        <v>32</v>
      </c>
      <c r="B36" s="20" t="inlineStr">
        <is>
          <t>Exsim Project</t>
        </is>
      </c>
      <c r="C36" s="21" t="inlineStr">
        <is>
          <t>Pass</t>
        </is>
      </c>
      <c r="D36" s="23" t="inlineStr">
        <is>
          <t>NO SOURCE</t>
        </is>
      </c>
      <c r="E36" s="19" t="inlineStr">
        <is>
          <t>—</t>
        </is>
      </c>
      <c r="F36" s="19" t="inlineStr">
        <is>
          <t>—</t>
        </is>
      </c>
      <c r="G36" s="19" t="inlineStr">
        <is>
          <t>—</t>
        </is>
      </c>
      <c r="H36" s="23" t="inlineStr">
        <is>
          <t>NO SOURCE</t>
        </is>
      </c>
      <c r="I36" s="23" t="inlineStr">
        <is>
          <t>NO SOURCE</t>
        </is>
      </c>
      <c r="J36" s="19" t="inlineStr">
        <is>
          <t>—</t>
        </is>
      </c>
      <c r="K36" s="19" t="inlineStr">
        <is>
          <t>—</t>
        </is>
      </c>
      <c r="L36" s="19" t="inlineStr">
        <is>
          <t>—</t>
        </is>
      </c>
      <c r="M36" s="19" t="inlineStr">
        <is>
          <t>—</t>
        </is>
      </c>
      <c r="N36" s="19" t="inlineStr">
        <is>
          <t>—</t>
        </is>
      </c>
      <c r="O36" s="19" t="inlineStr">
        <is>
          <t>—</t>
        </is>
      </c>
      <c r="P36" s="19" t="inlineStr">
        <is>
          <t>—</t>
        </is>
      </c>
      <c r="Q36" s="19" t="inlineStr">
        <is>
          <t>—</t>
        </is>
      </c>
      <c r="R36" s="19" t="inlineStr">
        <is>
          <t>—</t>
        </is>
      </c>
      <c r="S36" s="22" t="inlineStr">
        <is>
          <t>Pass</t>
        </is>
      </c>
      <c r="T36" s="24" t="inlineStr"/>
    </row>
    <row r="37">
      <c r="A37" s="19" t="n">
        <v>33</v>
      </c>
      <c r="B37" s="20" t="inlineStr">
        <is>
          <t>Kensho @ Taman Desa</t>
        </is>
      </c>
      <c r="C37" s="21" t="inlineStr">
        <is>
          <t>Pass</t>
        </is>
      </c>
      <c r="D37" s="23" t="inlineStr">
        <is>
          <t>NO SOURCE</t>
        </is>
      </c>
      <c r="E37" s="19" t="inlineStr">
        <is>
          <t>—</t>
        </is>
      </c>
      <c r="F37" s="23" t="inlineStr">
        <is>
          <t>NO SOURCE</t>
        </is>
      </c>
      <c r="G37" s="23" t="inlineStr">
        <is>
          <t>NO SOURCE</t>
        </is>
      </c>
      <c r="H37" s="22" t="inlineStr">
        <is>
          <t>PASS</t>
        </is>
      </c>
      <c r="I37" s="22" t="inlineStr">
        <is>
          <t>PASS</t>
        </is>
      </c>
      <c r="J37" s="22" t="inlineStr">
        <is>
          <t>PASS</t>
        </is>
      </c>
      <c r="K37" s="22" t="inlineStr">
        <is>
          <t>PASS</t>
        </is>
      </c>
      <c r="L37" s="22" t="inlineStr">
        <is>
          <t>PASS</t>
        </is>
      </c>
      <c r="M37" s="23" t="inlineStr">
        <is>
          <t>NO SOURCE</t>
        </is>
      </c>
      <c r="N37" s="19" t="inlineStr">
        <is>
          <t>—</t>
        </is>
      </c>
      <c r="O37" s="22" t="inlineStr">
        <is>
          <t>PASS</t>
        </is>
      </c>
      <c r="P37" s="23" t="inlineStr">
        <is>
          <t>NO SOURCE</t>
        </is>
      </c>
      <c r="Q37" s="23" t="inlineStr">
        <is>
          <t>NO SOURCE</t>
        </is>
      </c>
      <c r="R37" s="23" t="inlineStr">
        <is>
          <t>NO SOURCE</t>
        </is>
      </c>
      <c r="S37" s="22" t="inlineStr">
        <is>
          <t>Pass</t>
        </is>
      </c>
      <c r="T37" s="24" t="inlineStr">
        <is>
          <t>Developer: matches the sheet, but also gives "SCP" from its own write-up (the sheet has it in Aster Hill Sri Petaling's row: Developer column offset)</t>
        </is>
      </c>
    </row>
    <row r="38">
      <c r="A38" s="19" t="n">
        <v>34</v>
      </c>
      <c r="B38" s="20" t="inlineStr">
        <is>
          <t>Aetas Taman Desa</t>
        </is>
      </c>
      <c r="C38" s="29" t="inlineStr">
        <is>
          <t>Needs ruling</t>
        </is>
      </c>
      <c r="D38" s="23" t="inlineStr">
        <is>
          <t>NO SOURCE</t>
        </is>
      </c>
      <c r="E38" s="19" t="inlineStr">
        <is>
          <t>—</t>
        </is>
      </c>
      <c r="F38" s="23" t="inlineStr">
        <is>
          <t>NO SOURCE</t>
        </is>
      </c>
      <c r="G38" s="23" t="inlineStr">
        <is>
          <t>NO SOURCE</t>
        </is>
      </c>
      <c r="H38" s="22" t="inlineStr">
        <is>
          <t>PASS</t>
        </is>
      </c>
      <c r="I38" s="25" t="inlineStr">
        <is>
          <t>CONFLICT</t>
        </is>
      </c>
      <c r="J38" s="19" t="inlineStr">
        <is>
          <t>—</t>
        </is>
      </c>
      <c r="K38" s="22" t="inlineStr">
        <is>
          <t>PASS</t>
        </is>
      </c>
      <c r="L38" s="22" t="inlineStr">
        <is>
          <t>PASS</t>
        </is>
      </c>
      <c r="M38" s="22" t="inlineStr">
        <is>
          <t>PASS</t>
        </is>
      </c>
      <c r="N38" s="22" t="inlineStr">
        <is>
          <t>PASS</t>
        </is>
      </c>
      <c r="O38" s="22" t="inlineStr">
        <is>
          <t>PASS</t>
        </is>
      </c>
      <c r="P38" s="23" t="inlineStr">
        <is>
          <t>NO SOURCE</t>
        </is>
      </c>
      <c r="Q38" s="19" t="inlineStr">
        <is>
          <t>—</t>
        </is>
      </c>
      <c r="R38" s="23" t="inlineStr">
        <is>
          <t>NO SOURCE</t>
        </is>
      </c>
      <c r="S38" s="22" t="inlineStr">
        <is>
          <t>Pass</t>
        </is>
      </c>
      <c r="T38" s="24" t="inlineStr">
        <is>
          <t>Developer: Sheet: Berjaya Hartanah; bot: Avaland (from appointment documents)</t>
        </is>
      </c>
    </row>
    <row r="39">
      <c r="A39" s="19" t="n">
        <v>35</v>
      </c>
      <c r="B39" s="20" t="inlineStr">
        <is>
          <t>Southpoint Residences (IGB )</t>
        </is>
      </c>
      <c r="C39" s="21" t="inlineStr">
        <is>
          <t>Pass</t>
        </is>
      </c>
      <c r="D39" s="22" t="inlineStr">
        <is>
          <t>PASS</t>
        </is>
      </c>
      <c r="E39" s="22" t="inlineStr">
        <is>
          <t>PASS</t>
        </is>
      </c>
      <c r="F39" s="19" t="inlineStr">
        <is>
          <t>—</t>
        </is>
      </c>
      <c r="G39" s="19" t="inlineStr">
        <is>
          <t>—</t>
        </is>
      </c>
      <c r="H39" s="23" t="inlineStr">
        <is>
          <t>NO SOURCE</t>
        </is>
      </c>
      <c r="I39" s="22" t="inlineStr">
        <is>
          <t>PASS</t>
        </is>
      </c>
      <c r="J39" s="19" t="inlineStr">
        <is>
          <t>—</t>
        </is>
      </c>
      <c r="K39" s="22" t="inlineStr">
        <is>
          <t>PASS</t>
        </is>
      </c>
      <c r="L39" s="22" t="inlineStr">
        <is>
          <t>PASS</t>
        </is>
      </c>
      <c r="M39" s="22" t="inlineStr">
        <is>
          <t>PASS</t>
        </is>
      </c>
      <c r="N39" s="23" t="inlineStr">
        <is>
          <t>NO SOURCE</t>
        </is>
      </c>
      <c r="O39" s="19" t="inlineStr">
        <is>
          <t>—</t>
        </is>
      </c>
      <c r="P39" s="19" t="inlineStr">
        <is>
          <t>—</t>
        </is>
      </c>
      <c r="Q39" s="19" t="inlineStr">
        <is>
          <t>—</t>
        </is>
      </c>
      <c r="R39" s="19" t="inlineStr">
        <is>
          <t>—</t>
        </is>
      </c>
      <c r="S39" s="19" t="inlineStr">
        <is>
          <t>Not run</t>
        </is>
      </c>
      <c r="T39" s="24" t="inlineStr"/>
    </row>
    <row r="40">
      <c r="A40" s="19" t="n">
        <v>36</v>
      </c>
      <c r="B40" s="20" t="inlineStr">
        <is>
          <t>Park Green at Pavilion Bukit Jalil</t>
        </is>
      </c>
      <c r="C40" s="21" t="inlineStr">
        <is>
          <t>Pass</t>
        </is>
      </c>
      <c r="D40" s="23" t="inlineStr">
        <is>
          <t>NO SOURCE</t>
        </is>
      </c>
      <c r="E40" s="19" t="inlineStr">
        <is>
          <t>—</t>
        </is>
      </c>
      <c r="F40" s="23" t="inlineStr">
        <is>
          <t>NO SOURCE</t>
        </is>
      </c>
      <c r="G40" s="23" t="inlineStr">
        <is>
          <t>NO SOURCE</t>
        </is>
      </c>
      <c r="H40" s="22" t="inlineStr">
        <is>
          <t>PASS</t>
        </is>
      </c>
      <c r="I40" s="22" t="inlineStr">
        <is>
          <t>PASS</t>
        </is>
      </c>
      <c r="J40" s="23" t="inlineStr">
        <is>
          <t>NO SOURCE</t>
        </is>
      </c>
      <c r="K40" s="22" t="inlineStr">
        <is>
          <t>PASS</t>
        </is>
      </c>
      <c r="L40" s="22" t="inlineStr">
        <is>
          <t>PASS</t>
        </is>
      </c>
      <c r="M40" s="22" t="inlineStr">
        <is>
          <t>PASS</t>
        </is>
      </c>
      <c r="N40" s="22" t="inlineStr">
        <is>
          <t>PASS</t>
        </is>
      </c>
      <c r="O40" s="23" t="inlineStr">
        <is>
          <t>NO SOURCE</t>
        </is>
      </c>
      <c r="P40" s="23" t="inlineStr">
        <is>
          <t>NO SOURCE</t>
        </is>
      </c>
      <c r="Q40" s="23" t="inlineStr">
        <is>
          <t>NO SOURCE</t>
        </is>
      </c>
      <c r="R40" s="23" t="inlineStr">
        <is>
          <t>NO SOURCE</t>
        </is>
      </c>
      <c r="S40" s="22" t="inlineStr">
        <is>
          <t>Pass</t>
        </is>
      </c>
      <c r="T40" s="24" t="inlineStr"/>
    </row>
    <row r="41">
      <c r="A41" s="19" t="n">
        <v>37</v>
      </c>
      <c r="B41" s="20" t="inlineStr">
        <is>
          <t>OAKA Residences, Bukit Jalil</t>
        </is>
      </c>
      <c r="C41" s="21" t="inlineStr">
        <is>
          <t>Pass</t>
        </is>
      </c>
      <c r="D41" s="23" t="inlineStr">
        <is>
          <t>NO SOURCE</t>
        </is>
      </c>
      <c r="E41" s="19" t="inlineStr">
        <is>
          <t>—</t>
        </is>
      </c>
      <c r="F41" s="23" t="inlineStr">
        <is>
          <t>NO SOURCE</t>
        </is>
      </c>
      <c r="G41" s="23" t="inlineStr">
        <is>
          <t>NO SOURCE</t>
        </is>
      </c>
      <c r="H41" s="22" t="inlineStr">
        <is>
          <t>PASS</t>
        </is>
      </c>
      <c r="I41" s="22" t="inlineStr">
        <is>
          <t>PASS</t>
        </is>
      </c>
      <c r="J41" s="22" t="inlineStr">
        <is>
          <t>PASS</t>
        </is>
      </c>
      <c r="K41" s="22" t="inlineStr">
        <is>
          <t>PASS</t>
        </is>
      </c>
      <c r="L41" s="22" t="inlineStr">
        <is>
          <t>PASS</t>
        </is>
      </c>
      <c r="M41" s="22" t="inlineStr">
        <is>
          <t>PASS</t>
        </is>
      </c>
      <c r="N41" s="22" t="inlineStr">
        <is>
          <t>PASS</t>
        </is>
      </c>
      <c r="O41" s="22" t="inlineStr">
        <is>
          <t>PASS</t>
        </is>
      </c>
      <c r="P41" s="23" t="inlineStr">
        <is>
          <t>NO SOURCE</t>
        </is>
      </c>
      <c r="Q41" s="23" t="inlineStr">
        <is>
          <t>NO SOURCE</t>
        </is>
      </c>
      <c r="R41" s="23" t="inlineStr">
        <is>
          <t>NO SOURCE</t>
        </is>
      </c>
      <c r="S41" s="28" t="inlineStr">
        <is>
          <t>Fail</t>
        </is>
      </c>
      <c r="T41" s="24" t="inlineStr"/>
    </row>
    <row r="42">
      <c r="A42" s="19" t="n">
        <v>38</v>
      </c>
      <c r="B42" s="20" t="inlineStr">
        <is>
          <t>Senja The Jewel Collection</t>
        </is>
      </c>
      <c r="C42" s="29" t="inlineStr">
        <is>
          <t>Needs ruling</t>
        </is>
      </c>
      <c r="D42" s="23" t="inlineStr">
        <is>
          <t>NO SOURCE</t>
        </is>
      </c>
      <c r="E42" s="23" t="inlineStr">
        <is>
          <t>NO SOURCE</t>
        </is>
      </c>
      <c r="F42" s="23" t="inlineStr">
        <is>
          <t>NO SOURCE</t>
        </is>
      </c>
      <c r="G42" s="23" t="inlineStr">
        <is>
          <t>NO SOURCE</t>
        </is>
      </c>
      <c r="H42" s="22" t="inlineStr">
        <is>
          <t>PASS</t>
        </is>
      </c>
      <c r="I42" s="25" t="inlineStr">
        <is>
          <t>CONFLICT</t>
        </is>
      </c>
      <c r="J42" s="22" t="inlineStr">
        <is>
          <t>PASS</t>
        </is>
      </c>
      <c r="K42" s="23" t="inlineStr">
        <is>
          <t>NO SOURCE</t>
        </is>
      </c>
      <c r="L42" s="22" t="inlineStr">
        <is>
          <t>PASS</t>
        </is>
      </c>
      <c r="M42" s="22" t="inlineStr">
        <is>
          <t>PASS</t>
        </is>
      </c>
      <c r="N42" s="19" t="inlineStr">
        <is>
          <t>—</t>
        </is>
      </c>
      <c r="O42" s="22" t="inlineStr">
        <is>
          <t>PASS</t>
        </is>
      </c>
      <c r="P42" s="19" t="inlineStr">
        <is>
          <t>—</t>
        </is>
      </c>
      <c r="Q42" s="23" t="inlineStr">
        <is>
          <t>NO SOURCE</t>
        </is>
      </c>
      <c r="R42" s="19" t="inlineStr">
        <is>
          <t>—</t>
        </is>
      </c>
      <c r="S42" s="19" t="inlineStr">
        <is>
          <t>Not run</t>
        </is>
      </c>
      <c r="T42" s="24" t="inlineStr">
        <is>
          <t>Developer: Sheet: CCCG-WCT; bot: BRDB (Senja WhatsApp). Client sheet Developer cell looks misplaced (Developer column offset in this block); the bot quotes the project's own older records</t>
        </is>
      </c>
    </row>
    <row r="43">
      <c r="A43" s="19" t="n">
        <v>39</v>
      </c>
      <c r="B43" s="20" t="inlineStr">
        <is>
          <t>18 Madge Uthant</t>
        </is>
      </c>
      <c r="C43" s="29" t="inlineStr">
        <is>
          <t>Needs ruling</t>
        </is>
      </c>
      <c r="D43" s="23" t="inlineStr">
        <is>
          <t>NO SOURCE</t>
        </is>
      </c>
      <c r="E43" s="19" t="inlineStr">
        <is>
          <t>—</t>
        </is>
      </c>
      <c r="F43" s="23" t="inlineStr">
        <is>
          <t>NO SOURCE</t>
        </is>
      </c>
      <c r="G43" s="23" t="inlineStr">
        <is>
          <t>NO SOURCE</t>
        </is>
      </c>
      <c r="H43" s="22" t="inlineStr">
        <is>
          <t>PASS</t>
        </is>
      </c>
      <c r="I43" s="25" t="inlineStr">
        <is>
          <t>CONFLICT</t>
        </is>
      </c>
      <c r="J43" s="22" t="inlineStr">
        <is>
          <t>PASS</t>
        </is>
      </c>
      <c r="K43" s="22" t="inlineStr">
        <is>
          <t>PASS</t>
        </is>
      </c>
      <c r="L43" s="22" t="inlineStr">
        <is>
          <t>PASS</t>
        </is>
      </c>
      <c r="M43" s="22" t="inlineStr">
        <is>
          <t>PASS</t>
        </is>
      </c>
      <c r="N43" s="22" t="inlineStr">
        <is>
          <t>PASS</t>
        </is>
      </c>
      <c r="O43" s="22" t="inlineStr">
        <is>
          <t>PASS</t>
        </is>
      </c>
      <c r="P43" s="19" t="inlineStr">
        <is>
          <t>—</t>
        </is>
      </c>
      <c r="Q43" s="23" t="inlineStr">
        <is>
          <t>NO SOURCE</t>
        </is>
      </c>
      <c r="R43" s="23" t="inlineStr">
        <is>
          <t>NO SOURCE</t>
        </is>
      </c>
      <c r="S43" s="19" t="inlineStr">
        <is>
          <t>Not run</t>
        </is>
      </c>
      <c r="T43" s="24" t="inlineStr">
        <is>
          <t>Developer: Sheet: Chin Hin; bot: Goodpark Development (KSL) (18 Madge WhatsApp). Client sheet Developer cell looks misplaced (Developer column offset in this block); the bot quotes the project's own older records</t>
        </is>
      </c>
    </row>
    <row r="44">
      <c r="A44" s="19" t="n">
        <v>40</v>
      </c>
      <c r="B44" s="20" t="inlineStr">
        <is>
          <t>Aria Luxury Residence @ KLCC</t>
        </is>
      </c>
      <c r="C44" s="30" t="inlineStr">
        <is>
          <t>Partial</t>
        </is>
      </c>
      <c r="D44" s="23" t="inlineStr">
        <is>
          <t>NO SOURCE</t>
        </is>
      </c>
      <c r="E44" s="19" t="inlineStr">
        <is>
          <t>—</t>
        </is>
      </c>
      <c r="F44" s="23" t="inlineStr">
        <is>
          <t>NO SOURCE</t>
        </is>
      </c>
      <c r="G44" s="23" t="inlineStr">
        <is>
          <t>NO SOURCE</t>
        </is>
      </c>
      <c r="H44" s="22" t="inlineStr">
        <is>
          <t>PASS</t>
        </is>
      </c>
      <c r="I44" s="31" t="inlineStr">
        <is>
          <t>NOT STATED</t>
        </is>
      </c>
      <c r="J44" s="22" t="inlineStr">
        <is>
          <t>PASS</t>
        </is>
      </c>
      <c r="K44" s="22" t="inlineStr">
        <is>
          <t>PASS</t>
        </is>
      </c>
      <c r="L44" s="22" t="inlineStr">
        <is>
          <t>PASS</t>
        </is>
      </c>
      <c r="M44" s="22" t="inlineStr">
        <is>
          <t>PASS</t>
        </is>
      </c>
      <c r="N44" s="19" t="inlineStr">
        <is>
          <t>—</t>
        </is>
      </c>
      <c r="O44" s="19" t="inlineStr">
        <is>
          <t>—</t>
        </is>
      </c>
      <c r="P44" s="23" t="inlineStr">
        <is>
          <t>NO SOURCE</t>
        </is>
      </c>
      <c r="Q44" s="23" t="inlineStr">
        <is>
          <t>NO SOURCE</t>
        </is>
      </c>
      <c r="R44" s="19" t="inlineStr">
        <is>
          <t>—</t>
        </is>
      </c>
      <c r="S44" s="22" t="inlineStr">
        <is>
          <t>Pass</t>
        </is>
      </c>
      <c r="T44" s="24" t="inlineStr">
        <is>
          <t>Developer: Bot: not on record. Sheet: City View Ventures (GSH), which looks like Eaton's developer (offset)</t>
        </is>
      </c>
    </row>
    <row r="45">
      <c r="A45" s="19" t="n">
        <v>41</v>
      </c>
      <c r="B45" s="20" t="inlineStr">
        <is>
          <t>AT6 Residensi @ Ampang Tengah</t>
        </is>
      </c>
      <c r="C45" s="29" t="inlineStr">
        <is>
          <t>Needs ruling</t>
        </is>
      </c>
      <c r="D45" s="23" t="inlineStr">
        <is>
          <t>NO SOURCE</t>
        </is>
      </c>
      <c r="E45" s="23" t="inlineStr">
        <is>
          <t>NO SOURCE</t>
        </is>
      </c>
      <c r="F45" s="23" t="inlineStr">
        <is>
          <t>NO SOURCE</t>
        </is>
      </c>
      <c r="G45" s="23" t="inlineStr">
        <is>
          <t>NO SOURCE</t>
        </is>
      </c>
      <c r="H45" s="22" t="inlineStr">
        <is>
          <t>PASS</t>
        </is>
      </c>
      <c r="I45" s="25" t="inlineStr">
        <is>
          <t>CONFLICT</t>
        </is>
      </c>
      <c r="J45" s="19" t="inlineStr">
        <is>
          <t>—</t>
        </is>
      </c>
      <c r="K45" s="23" t="inlineStr">
        <is>
          <t>NO SOURCE</t>
        </is>
      </c>
      <c r="L45" s="22" t="inlineStr">
        <is>
          <t>PASS</t>
        </is>
      </c>
      <c r="M45" s="22" t="inlineStr">
        <is>
          <t>PASS</t>
        </is>
      </c>
      <c r="N45" s="23" t="inlineStr">
        <is>
          <t>NO SOURCE</t>
        </is>
      </c>
      <c r="O45" s="22" t="inlineStr">
        <is>
          <t>PASS</t>
        </is>
      </c>
      <c r="P45" s="19" t="inlineStr">
        <is>
          <t>—</t>
        </is>
      </c>
      <c r="Q45" s="23" t="inlineStr">
        <is>
          <t>NO SOURCE</t>
        </is>
      </c>
      <c r="R45" s="23" t="inlineStr">
        <is>
          <t>NO SOURCE</t>
        </is>
      </c>
      <c r="S45" s="19" t="inlineStr">
        <is>
          <t>Not run</t>
        </is>
      </c>
      <c r="T45" s="24" t="inlineStr">
        <is>
          <t>Developer: Sheet: Platinum Victory; bot: Boulevard Realty (AT6 WhatsApp). Client sheet Developer cell looks misplaced (Developer column offset in this block); the bot quotes the project's own older records</t>
        </is>
      </c>
    </row>
    <row r="46">
      <c r="A46" s="19" t="n">
        <v>42</v>
      </c>
      <c r="B46" s="20" t="inlineStr">
        <is>
          <t>Clouthaus KLCC</t>
        </is>
      </c>
      <c r="C46" s="29" t="inlineStr">
        <is>
          <t>Needs ruling</t>
        </is>
      </c>
      <c r="D46" s="23" t="inlineStr">
        <is>
          <t>NO SOURCE</t>
        </is>
      </c>
      <c r="E46" s="19" t="inlineStr">
        <is>
          <t>—</t>
        </is>
      </c>
      <c r="F46" s="23" t="inlineStr">
        <is>
          <t>NO SOURCE</t>
        </is>
      </c>
      <c r="G46" s="23" t="inlineStr">
        <is>
          <t>NO SOURCE</t>
        </is>
      </c>
      <c r="H46" s="22" t="inlineStr">
        <is>
          <t>PASS</t>
        </is>
      </c>
      <c r="I46" s="25" t="inlineStr">
        <is>
          <t>CONFLICT</t>
        </is>
      </c>
      <c r="J46" s="22" t="inlineStr">
        <is>
          <t>PASS</t>
        </is>
      </c>
      <c r="K46" s="23" t="inlineStr">
        <is>
          <t>NO SOURCE</t>
        </is>
      </c>
      <c r="L46" s="22" t="inlineStr">
        <is>
          <t>PASS</t>
        </is>
      </c>
      <c r="M46" s="22" t="inlineStr">
        <is>
          <t>PASS</t>
        </is>
      </c>
      <c r="N46" s="22" t="inlineStr">
        <is>
          <t>PASS</t>
        </is>
      </c>
      <c r="O46" s="22" t="inlineStr">
        <is>
          <t>PASS</t>
        </is>
      </c>
      <c r="P46" s="19" t="inlineStr">
        <is>
          <t>—</t>
        </is>
      </c>
      <c r="Q46" s="23" t="inlineStr">
        <is>
          <t>NO SOURCE</t>
        </is>
      </c>
      <c r="R46" s="23" t="inlineStr">
        <is>
          <t>NO SOURCE</t>
        </is>
      </c>
      <c r="S46" s="22" t="inlineStr">
        <is>
          <t>Pass</t>
        </is>
      </c>
      <c r="T46" s="24" t="inlineStr">
        <is>
          <t>Developer: Sheet: Armani Hallson KLCC Sdn Bhd; bot: TA Global. Client sheet Developer cell looks misplaced (Developer column offset in this block); the bot quotes the project's own older records</t>
        </is>
      </c>
    </row>
    <row r="47">
      <c r="A47" s="19" t="n">
        <v>43</v>
      </c>
      <c r="B47" s="20" t="inlineStr">
        <is>
          <t>Conlay by E&amp;O</t>
        </is>
      </c>
      <c r="C47" s="29" t="inlineStr">
        <is>
          <t>Needs ruling</t>
        </is>
      </c>
      <c r="D47" s="23" t="inlineStr">
        <is>
          <t>NO SOURCE</t>
        </is>
      </c>
      <c r="E47" s="23" t="inlineStr">
        <is>
          <t>NO SOURCE</t>
        </is>
      </c>
      <c r="F47" s="23" t="inlineStr">
        <is>
          <t>NO SOURCE</t>
        </is>
      </c>
      <c r="G47" s="23" t="inlineStr">
        <is>
          <t>NO SOURCE</t>
        </is>
      </c>
      <c r="H47" s="22" t="inlineStr">
        <is>
          <t>PASS</t>
        </is>
      </c>
      <c r="I47" s="25" t="inlineStr">
        <is>
          <t>CONFLICT</t>
        </is>
      </c>
      <c r="J47" s="22" t="inlineStr">
        <is>
          <t>PASS</t>
        </is>
      </c>
      <c r="K47" s="22" t="inlineStr">
        <is>
          <t>PASS</t>
        </is>
      </c>
      <c r="L47" s="22" t="inlineStr">
        <is>
          <t>PASS</t>
        </is>
      </c>
      <c r="M47" s="22" t="inlineStr">
        <is>
          <t>PASS</t>
        </is>
      </c>
      <c r="N47" s="22" t="inlineStr">
        <is>
          <t>PASS</t>
        </is>
      </c>
      <c r="O47" s="22" t="inlineStr">
        <is>
          <t>PASS</t>
        </is>
      </c>
      <c r="P47" s="22" t="inlineStr">
        <is>
          <t>PASS</t>
        </is>
      </c>
      <c r="Q47" s="23" t="inlineStr">
        <is>
          <t>NO SOURCE</t>
        </is>
      </c>
      <c r="R47" s="19" t="inlineStr">
        <is>
          <t>—</t>
        </is>
      </c>
      <c r="S47" s="22" t="inlineStr">
        <is>
          <t>Pass</t>
        </is>
      </c>
      <c r="T47" s="24" t="inlineStr">
        <is>
          <t>Developer: Bot: "Patsawan Properties / Orion Tower". Sheet: Orion Tower, which is Orion Residence's developer: Developer column offset in rows 114-125</t>
        </is>
      </c>
    </row>
    <row r="48">
      <c r="A48" s="19" t="n">
        <v>44</v>
      </c>
      <c r="B48" s="20" t="inlineStr">
        <is>
          <t>Core Residence @ TRX</t>
        </is>
      </c>
      <c r="C48" s="29" t="inlineStr">
        <is>
          <t>Needs ruling</t>
        </is>
      </c>
      <c r="D48" s="23" t="inlineStr">
        <is>
          <t>NO SOURCE</t>
        </is>
      </c>
      <c r="E48" s="23" t="inlineStr">
        <is>
          <t>NO SOURCE</t>
        </is>
      </c>
      <c r="F48" s="23" t="inlineStr">
        <is>
          <t>NO SOURCE</t>
        </is>
      </c>
      <c r="G48" s="23" t="inlineStr">
        <is>
          <t>NO SOURCE</t>
        </is>
      </c>
      <c r="H48" s="22" t="inlineStr">
        <is>
          <t>PASS</t>
        </is>
      </c>
      <c r="I48" s="25" t="inlineStr">
        <is>
          <t>CONFLICT</t>
        </is>
      </c>
      <c r="J48" s="22" t="inlineStr">
        <is>
          <t>PASS</t>
        </is>
      </c>
      <c r="K48" s="22" t="inlineStr">
        <is>
          <t>PASS</t>
        </is>
      </c>
      <c r="L48" s="22" t="inlineStr">
        <is>
          <t>PASS</t>
        </is>
      </c>
      <c r="M48" s="22" t="inlineStr">
        <is>
          <t>PASS</t>
        </is>
      </c>
      <c r="N48" s="23" t="inlineStr">
        <is>
          <t>NO SOURCE</t>
        </is>
      </c>
      <c r="O48" s="22" t="inlineStr">
        <is>
          <t>PASS</t>
        </is>
      </c>
      <c r="P48" s="22" t="inlineStr">
        <is>
          <t>PASS</t>
        </is>
      </c>
      <c r="Q48" s="23" t="inlineStr">
        <is>
          <t>NO SOURCE</t>
        </is>
      </c>
      <c r="R48" s="19" t="inlineStr">
        <is>
          <t>—</t>
        </is>
      </c>
      <c r="S48" s="22" t="inlineStr">
        <is>
          <t>Pass</t>
        </is>
      </c>
      <c r="T48" s="24" t="inlineStr">
        <is>
          <t>Developer: Sheet: Armani Hartajaya (Pavilion); bot: CCCG-WCT (Core WhatsApp). Client sheet Developer cell looks misplaced (Developer column offset in this block); the bot quotes the project's own older records</t>
        </is>
      </c>
    </row>
    <row r="49">
      <c r="A49" s="19" t="n">
        <v>45</v>
      </c>
      <c r="B49" s="20" t="inlineStr">
        <is>
          <t>Dawn KLCC</t>
        </is>
      </c>
      <c r="C49" s="29" t="inlineStr">
        <is>
          <t>Needs ruling</t>
        </is>
      </c>
      <c r="D49" s="23" t="inlineStr">
        <is>
          <t>NO SOURCE</t>
        </is>
      </c>
      <c r="E49" s="23" t="inlineStr">
        <is>
          <t>NO SOURCE</t>
        </is>
      </c>
      <c r="F49" s="23" t="inlineStr">
        <is>
          <t>NO SOURCE</t>
        </is>
      </c>
      <c r="G49" s="23" t="inlineStr">
        <is>
          <t>NO SOURCE</t>
        </is>
      </c>
      <c r="H49" s="22" t="inlineStr">
        <is>
          <t>PASS</t>
        </is>
      </c>
      <c r="I49" s="25" t="inlineStr">
        <is>
          <t>CONFLICT</t>
        </is>
      </c>
      <c r="J49" s="22" t="inlineStr">
        <is>
          <t>PASS</t>
        </is>
      </c>
      <c r="K49" s="19" t="inlineStr">
        <is>
          <t>—</t>
        </is>
      </c>
      <c r="L49" s="22" t="inlineStr">
        <is>
          <t>PASS</t>
        </is>
      </c>
      <c r="M49" s="23" t="inlineStr">
        <is>
          <t>NO SOURCE</t>
        </is>
      </c>
      <c r="N49" s="23" t="inlineStr">
        <is>
          <t>NO SOURCE</t>
        </is>
      </c>
      <c r="O49" s="22" t="inlineStr">
        <is>
          <t>PASS</t>
        </is>
      </c>
      <c r="P49" s="23" t="inlineStr">
        <is>
          <t>NO SOURCE</t>
        </is>
      </c>
      <c r="Q49" s="19" t="inlineStr">
        <is>
          <t>—</t>
        </is>
      </c>
      <c r="R49" s="19" t="inlineStr">
        <is>
          <t>—</t>
        </is>
      </c>
      <c r="S49" s="22" t="inlineStr">
        <is>
          <t>Pass</t>
        </is>
      </c>
      <c r="T49" s="24" t="inlineStr">
        <is>
          <t>Developer: Sheet: BSG Group; bot: Dawn Land (Chin Hin affiliate). Client sheet Developer cell looks misplaced (Developer column offset in this block); the bot quotes the project's own older records</t>
        </is>
      </c>
    </row>
    <row r="50">
      <c r="A50" s="19" t="n">
        <v>46</v>
      </c>
      <c r="B50" s="20" t="inlineStr">
        <is>
          <t>Eaton Residences by Sutera @ KLCC</t>
        </is>
      </c>
      <c r="C50" s="29" t="inlineStr">
        <is>
          <t>Needs ruling</t>
        </is>
      </c>
      <c r="D50" s="23" t="inlineStr">
        <is>
          <t>NO SOURCE</t>
        </is>
      </c>
      <c r="E50" s="23" t="inlineStr">
        <is>
          <t>NO SOURCE</t>
        </is>
      </c>
      <c r="F50" s="23" t="inlineStr">
        <is>
          <t>NO SOURCE</t>
        </is>
      </c>
      <c r="G50" s="23" t="inlineStr">
        <is>
          <t>NO SOURCE</t>
        </is>
      </c>
      <c r="H50" s="22" t="inlineStr">
        <is>
          <t>PASS</t>
        </is>
      </c>
      <c r="I50" s="25" t="inlineStr">
        <is>
          <t>CONFLICT</t>
        </is>
      </c>
      <c r="J50" s="23" t="inlineStr">
        <is>
          <t>NO SOURCE</t>
        </is>
      </c>
      <c r="K50" s="22" t="inlineStr">
        <is>
          <t>PASS</t>
        </is>
      </c>
      <c r="L50" s="22" t="inlineStr">
        <is>
          <t>PASS</t>
        </is>
      </c>
      <c r="M50" s="22" t="inlineStr">
        <is>
          <t>PASS</t>
        </is>
      </c>
      <c r="N50" s="23" t="inlineStr">
        <is>
          <t>NO SOURCE</t>
        </is>
      </c>
      <c r="O50" s="22" t="inlineStr">
        <is>
          <t>PASS</t>
        </is>
      </c>
      <c r="P50" s="23" t="inlineStr">
        <is>
          <t>NO SOURCE</t>
        </is>
      </c>
      <c r="Q50" s="23" t="inlineStr">
        <is>
          <t>NO SOURCE</t>
        </is>
      </c>
      <c r="R50" s="23" t="inlineStr">
        <is>
          <t>NO SOURCE</t>
        </is>
      </c>
      <c r="S50" s="22" t="inlineStr">
        <is>
          <t>Pass</t>
        </is>
      </c>
      <c r="T50" s="24" t="inlineStr">
        <is>
          <t>Developer: Bot: "City View Ventures (GSH)" (Eaton WhatsApp) plus the sheet's "DAC / Intan Sekitar". Sheet value looks like The Centrix's developer: offset in rows 114-125</t>
        </is>
      </c>
    </row>
    <row r="51">
      <c r="A51" s="19" t="n">
        <v>47</v>
      </c>
      <c r="B51" s="20" t="inlineStr">
        <is>
          <t>Platinum Face Suite 2 KLCC</t>
        </is>
      </c>
      <c r="C51" s="29" t="inlineStr">
        <is>
          <t>Needs ruling</t>
        </is>
      </c>
      <c r="D51" s="23" t="inlineStr">
        <is>
          <t>NO SOURCE</t>
        </is>
      </c>
      <c r="E51" s="19" t="inlineStr">
        <is>
          <t>—</t>
        </is>
      </c>
      <c r="F51" s="23" t="inlineStr">
        <is>
          <t>NO SOURCE</t>
        </is>
      </c>
      <c r="G51" s="23" t="inlineStr">
        <is>
          <t>NO SOURCE</t>
        </is>
      </c>
      <c r="H51" s="22" t="inlineStr">
        <is>
          <t>PASS</t>
        </is>
      </c>
      <c r="I51" s="25" t="inlineStr">
        <is>
          <t>CONFLICT</t>
        </is>
      </c>
      <c r="J51" s="22" t="inlineStr">
        <is>
          <t>PASS</t>
        </is>
      </c>
      <c r="K51" s="22" t="inlineStr">
        <is>
          <t>PASS</t>
        </is>
      </c>
      <c r="L51" s="22" t="inlineStr">
        <is>
          <t>PASS</t>
        </is>
      </c>
      <c r="M51" s="22" t="inlineStr">
        <is>
          <t>PASS</t>
        </is>
      </c>
      <c r="N51" s="22" t="inlineStr">
        <is>
          <t>PASS</t>
        </is>
      </c>
      <c r="O51" s="22" t="inlineStr">
        <is>
          <t>PASS</t>
        </is>
      </c>
      <c r="P51" s="23" t="inlineStr">
        <is>
          <t>NO SOURCE</t>
        </is>
      </c>
      <c r="Q51" s="23" t="inlineStr">
        <is>
          <t>NO SOURCE</t>
        </is>
      </c>
      <c r="R51" s="23" t="inlineStr">
        <is>
          <t>NO SOURCE</t>
        </is>
      </c>
      <c r="S51" s="22" t="inlineStr">
        <is>
          <t>Pass</t>
        </is>
      </c>
      <c r="T51" s="24" t="inlineStr">
        <is>
          <t>Developer: Bot: "Andarama (Quill group) / Platinum Victory Suites". Sheet: Andarama, which looks like Quill's developer; Platinum Victory is in AT6's cell: offset in rows 114-125</t>
        </is>
      </c>
    </row>
    <row r="52">
      <c r="A52" s="19" t="n">
        <v>48</v>
      </c>
      <c r="B52" s="20" t="inlineStr">
        <is>
          <t>Armani Hallson @ Jalan Ampang</t>
        </is>
      </c>
      <c r="C52" s="29" t="inlineStr">
        <is>
          <t>Needs ruling</t>
        </is>
      </c>
      <c r="D52" s="23" t="inlineStr">
        <is>
          <t>NO SOURCE</t>
        </is>
      </c>
      <c r="E52" s="19" t="inlineStr">
        <is>
          <t>—</t>
        </is>
      </c>
      <c r="F52" s="23" t="inlineStr">
        <is>
          <t>NO SOURCE</t>
        </is>
      </c>
      <c r="G52" s="23" t="inlineStr">
        <is>
          <t>NO SOURCE</t>
        </is>
      </c>
      <c r="H52" s="22" t="inlineStr">
        <is>
          <t>PASS</t>
        </is>
      </c>
      <c r="I52" s="25" t="inlineStr">
        <is>
          <t>CONFLICT</t>
        </is>
      </c>
      <c r="J52" s="19" t="inlineStr">
        <is>
          <t>—</t>
        </is>
      </c>
      <c r="K52" s="23" t="inlineStr">
        <is>
          <t>NO SOURCE</t>
        </is>
      </c>
      <c r="L52" s="22" t="inlineStr">
        <is>
          <t>PASS</t>
        </is>
      </c>
      <c r="M52" s="22" t="inlineStr">
        <is>
          <t>PASS</t>
        </is>
      </c>
      <c r="N52" s="23" t="inlineStr">
        <is>
          <t>NO SOURCE</t>
        </is>
      </c>
      <c r="O52" s="23" t="inlineStr">
        <is>
          <t>NO SOURCE</t>
        </is>
      </c>
      <c r="P52" s="23" t="inlineStr">
        <is>
          <t>NO SOURCE</t>
        </is>
      </c>
      <c r="Q52" s="23" t="inlineStr">
        <is>
          <t>NO SOURCE</t>
        </is>
      </c>
      <c r="R52" s="19" t="inlineStr">
        <is>
          <t>—</t>
        </is>
      </c>
      <c r="S52" s="19" t="inlineStr">
        <is>
          <t>Not run</t>
        </is>
      </c>
      <c r="T52" s="24" t="inlineStr">
        <is>
          <t>Developer: Bot: "Armani Hallson KLCC Sdn Bhd / KL Metro Group". Sheet: KL Metro Group, which is Royal Lexis's developer; Armani Hallson KLCC is in Clouthaus's cell: offset in rows 114-125</t>
        </is>
      </c>
    </row>
    <row r="53">
      <c r="A53" s="19" t="n">
        <v>49</v>
      </c>
      <c r="B53" s="20" t="inlineStr">
        <is>
          <t>Orion Residence</t>
        </is>
      </c>
      <c r="C53" s="29" t="inlineStr">
        <is>
          <t>Needs ruling</t>
        </is>
      </c>
      <c r="D53" s="23" t="inlineStr">
        <is>
          <t>NO SOURCE</t>
        </is>
      </c>
      <c r="E53" s="19" t="inlineStr">
        <is>
          <t>—</t>
        </is>
      </c>
      <c r="F53" s="23" t="inlineStr">
        <is>
          <t>NO SOURCE</t>
        </is>
      </c>
      <c r="G53" s="23" t="inlineStr">
        <is>
          <t>NO SOURCE</t>
        </is>
      </c>
      <c r="H53" s="22" t="inlineStr">
        <is>
          <t>PASS</t>
        </is>
      </c>
      <c r="I53" s="25" t="inlineStr">
        <is>
          <t>CONFLICT</t>
        </is>
      </c>
      <c r="J53" s="25" t="inlineStr">
        <is>
          <t>CONFLICT</t>
        </is>
      </c>
      <c r="K53" s="23" t="inlineStr">
        <is>
          <t>NO SOURCE</t>
        </is>
      </c>
      <c r="L53" s="22" t="inlineStr">
        <is>
          <t>PASS</t>
        </is>
      </c>
      <c r="M53" s="22" t="inlineStr">
        <is>
          <t>PASS</t>
        </is>
      </c>
      <c r="N53" s="22" t="inlineStr">
        <is>
          <t>PASS</t>
        </is>
      </c>
      <c r="O53" s="22" t="inlineStr">
        <is>
          <t>PASS</t>
        </is>
      </c>
      <c r="P53" s="19" t="inlineStr">
        <is>
          <t>—</t>
        </is>
      </c>
      <c r="Q53" s="23" t="inlineStr">
        <is>
          <t>NO SOURCE</t>
        </is>
      </c>
      <c r="R53" s="23" t="inlineStr">
        <is>
          <t>NO SOURCE</t>
        </is>
      </c>
      <c r="S53" s="19" t="inlineStr">
        <is>
          <t>Not run</t>
        </is>
      </c>
      <c r="T53" s="24" t="inlineStr">
        <is>
          <t>Land Title: Sheet: Residential; bot (KB): Commercial title under HDA | Developer: Sheet: Oxley; bot: Orion Tower Sdn Bhd. Client sheet Developer cell looks misplaced (Developer column offset in this block); the bot quotes the project's own older records</t>
        </is>
      </c>
    </row>
    <row r="54">
      <c r="A54" s="19" t="n">
        <v>50</v>
      </c>
      <c r="B54" s="20" t="inlineStr">
        <is>
          <t>PSQ Pavilion Square</t>
        </is>
      </c>
      <c r="C54" s="29" t="inlineStr">
        <is>
          <t>Needs ruling</t>
        </is>
      </c>
      <c r="D54" s="23" t="inlineStr">
        <is>
          <t>NO SOURCE</t>
        </is>
      </c>
      <c r="E54" s="23" t="inlineStr">
        <is>
          <t>NO SOURCE</t>
        </is>
      </c>
      <c r="F54" s="23" t="inlineStr">
        <is>
          <t>NO SOURCE</t>
        </is>
      </c>
      <c r="G54" s="23" t="inlineStr">
        <is>
          <t>NO SOURCE</t>
        </is>
      </c>
      <c r="H54" s="22" t="inlineStr">
        <is>
          <t>PASS</t>
        </is>
      </c>
      <c r="I54" s="22" t="inlineStr">
        <is>
          <t>PASS</t>
        </is>
      </c>
      <c r="J54" s="23" t="inlineStr">
        <is>
          <t>NO SOURCE</t>
        </is>
      </c>
      <c r="K54" s="22" t="inlineStr">
        <is>
          <t>PASS</t>
        </is>
      </c>
      <c r="L54" s="22" t="inlineStr">
        <is>
          <t>PASS</t>
        </is>
      </c>
      <c r="M54" s="25" t="inlineStr">
        <is>
          <t>CONFLICT</t>
        </is>
      </c>
      <c r="N54" s="22" t="inlineStr">
        <is>
          <t>PASS</t>
        </is>
      </c>
      <c r="O54" s="23" t="inlineStr">
        <is>
          <t>NO SOURCE</t>
        </is>
      </c>
      <c r="P54" s="23" t="inlineStr">
        <is>
          <t>NO SOURCE</t>
        </is>
      </c>
      <c r="Q54" s="23" t="inlineStr">
        <is>
          <t>NO SOURCE</t>
        </is>
      </c>
      <c r="R54" s="23" t="inlineStr">
        <is>
          <t>NO SOURCE</t>
        </is>
      </c>
      <c r="S54" s="22" t="inlineStr">
        <is>
          <t>Pass</t>
        </is>
      </c>
      <c r="T54" s="24" t="inlineStr">
        <is>
          <t>Total Units: Sheet: 1,158; bot (KB): 960 residences + 106 corporate suites | Developer: matches the sheet, but also gives "Armani Hartajaya Sdn Bhd under Pavilion Group" from its own write-up (the sheet has it in Core Residence @ TRX's row: Developer column offset)</t>
        </is>
      </c>
    </row>
    <row r="55">
      <c r="A55" s="19" t="n">
        <v>51</v>
      </c>
      <c r="B55" s="20" t="inlineStr">
        <is>
          <t>Katana 2 Residence</t>
        </is>
      </c>
      <c r="C55" s="21" t="inlineStr">
        <is>
          <t>Pass</t>
        </is>
      </c>
      <c r="D55" s="23" t="inlineStr">
        <is>
          <t>NO SOURCE</t>
        </is>
      </c>
      <c r="E55" s="19" t="inlineStr">
        <is>
          <t>—</t>
        </is>
      </c>
      <c r="F55" s="23" t="inlineStr">
        <is>
          <t>NO SOURCE</t>
        </is>
      </c>
      <c r="G55" s="23" t="inlineStr">
        <is>
          <t>NO SOURCE</t>
        </is>
      </c>
      <c r="H55" s="23" t="inlineStr">
        <is>
          <t>NO SOURCE</t>
        </is>
      </c>
      <c r="I55" s="22" t="inlineStr">
        <is>
          <t>PASS</t>
        </is>
      </c>
      <c r="J55" s="22" t="inlineStr">
        <is>
          <t>PASS</t>
        </is>
      </c>
      <c r="K55" s="22" t="inlineStr">
        <is>
          <t>PASS</t>
        </is>
      </c>
      <c r="L55" s="19" t="inlineStr">
        <is>
          <t>—</t>
        </is>
      </c>
      <c r="M55" s="22" t="inlineStr">
        <is>
          <t>PASS</t>
        </is>
      </c>
      <c r="N55" s="23" t="inlineStr">
        <is>
          <t>NO SOURCE</t>
        </is>
      </c>
      <c r="O55" s="22" t="inlineStr">
        <is>
          <t>PASS</t>
        </is>
      </c>
      <c r="P55" s="22" t="inlineStr">
        <is>
          <t>PASS</t>
        </is>
      </c>
      <c r="Q55" s="23" t="inlineStr">
        <is>
          <t>NO SOURCE</t>
        </is>
      </c>
      <c r="R55" s="23" t="inlineStr">
        <is>
          <t>NO SOURCE</t>
        </is>
      </c>
      <c r="S55" s="19" t="inlineStr">
        <is>
          <t>Not run</t>
        </is>
      </c>
      <c r="T55" s="24" t="inlineStr">
        <is>
          <t>Developer: matches the sheet, but also gives "BSG Group" from its own write-up (the sheet has it in Dawn KLCC's row: Developer column offset)</t>
        </is>
      </c>
    </row>
    <row r="56">
      <c r="A56" s="19" t="n">
        <v>52</v>
      </c>
      <c r="B56" s="20" t="inlineStr">
        <is>
          <t>The Centrix</t>
        </is>
      </c>
      <c r="C56" s="21" t="inlineStr">
        <is>
          <t>Pass</t>
        </is>
      </c>
      <c r="D56" s="23" t="inlineStr">
        <is>
          <t>NO SOURCE</t>
        </is>
      </c>
      <c r="E56" s="23" t="inlineStr">
        <is>
          <t>NO SOURCE</t>
        </is>
      </c>
      <c r="F56" s="23" t="inlineStr">
        <is>
          <t>NO SOURCE</t>
        </is>
      </c>
      <c r="G56" s="23" t="inlineStr">
        <is>
          <t>NO SOURCE</t>
        </is>
      </c>
      <c r="H56" s="23" t="inlineStr">
        <is>
          <t>NO SOURCE</t>
        </is>
      </c>
      <c r="I56" s="22" t="inlineStr">
        <is>
          <t>PASS</t>
        </is>
      </c>
      <c r="J56" s="22" t="inlineStr">
        <is>
          <t>PASS</t>
        </is>
      </c>
      <c r="K56" s="23" t="inlineStr">
        <is>
          <t>NO SOURCE</t>
        </is>
      </c>
      <c r="L56" s="22" t="inlineStr">
        <is>
          <t>PASS</t>
        </is>
      </c>
      <c r="M56" s="22" t="inlineStr">
        <is>
          <t>PASS</t>
        </is>
      </c>
      <c r="N56" s="22" t="inlineStr">
        <is>
          <t>PASS</t>
        </is>
      </c>
      <c r="O56" s="22" t="inlineStr">
        <is>
          <t>PASS</t>
        </is>
      </c>
      <c r="P56" s="23" t="inlineStr">
        <is>
          <t>NO SOURCE</t>
        </is>
      </c>
      <c r="Q56" s="23" t="inlineStr">
        <is>
          <t>NO SOURCE</t>
        </is>
      </c>
      <c r="R56" s="23" t="inlineStr">
        <is>
          <t>NO SOURCE</t>
        </is>
      </c>
      <c r="S56" s="22" t="inlineStr">
        <is>
          <t>Pass</t>
        </is>
      </c>
      <c r="T56" s="24" t="inlineStr">
        <is>
          <t>Developer: matches the sheet, but also gives "DAC Development / Intan Sekitar Sdn Bhd" from its own write-up (the sheet has it in Eaton Residences by Sutera @ KLCC's row: Developer column offset)</t>
        </is>
      </c>
    </row>
    <row r="57">
      <c r="A57" s="19" t="n">
        <v>53</v>
      </c>
      <c r="B57" s="20" t="inlineStr">
        <is>
          <t>Quill Residences KLCC</t>
        </is>
      </c>
      <c r="C57" s="29" t="inlineStr">
        <is>
          <t>Needs ruling</t>
        </is>
      </c>
      <c r="D57" s="23" t="inlineStr">
        <is>
          <t>NO SOURCE</t>
        </is>
      </c>
      <c r="E57" s="23" t="inlineStr">
        <is>
          <t>NO SOURCE</t>
        </is>
      </c>
      <c r="F57" s="23" t="inlineStr">
        <is>
          <t>NO SOURCE</t>
        </is>
      </c>
      <c r="G57" s="23" t="inlineStr">
        <is>
          <t>NO SOURCE</t>
        </is>
      </c>
      <c r="H57" s="27" t="inlineStr">
        <is>
          <t>DIFFERS</t>
        </is>
      </c>
      <c r="I57" s="25" t="inlineStr">
        <is>
          <t>CONFLICT</t>
        </is>
      </c>
      <c r="J57" s="23" t="inlineStr">
        <is>
          <t>NO SOURCE</t>
        </is>
      </c>
      <c r="K57" s="22" t="inlineStr">
        <is>
          <t>PASS</t>
        </is>
      </c>
      <c r="L57" s="22" t="inlineStr">
        <is>
          <t>PASS</t>
        </is>
      </c>
      <c r="M57" s="23" t="inlineStr">
        <is>
          <t>NO SOURCE</t>
        </is>
      </c>
      <c r="N57" s="19" t="inlineStr">
        <is>
          <t>—</t>
        </is>
      </c>
      <c r="O57" s="22" t="inlineStr">
        <is>
          <t>PASS</t>
        </is>
      </c>
      <c r="P57" s="19" t="inlineStr">
        <is>
          <t>—</t>
        </is>
      </c>
      <c r="Q57" s="23" t="inlineStr">
        <is>
          <t>NO SOURCE</t>
        </is>
      </c>
      <c r="R57" s="23" t="inlineStr">
        <is>
          <t>NO SOURCE</t>
        </is>
      </c>
      <c r="S57" s="22" t="inlineStr">
        <is>
          <t>Pass</t>
        </is>
      </c>
      <c r="T57" s="24" t="inlineStr">
        <is>
          <t>Area: Bot says "Jalan Sultan Ismail, Golden Triangle"; sheet says "KLCC" | Developer: Sheet: BBCC Development; bot: Andarama (Quill group). Client sheet Developer cell looks misplaced (Developer column offset in this block); the bot quotes the project's own older records</t>
        </is>
      </c>
    </row>
    <row r="58">
      <c r="A58" s="19" t="n">
        <v>54</v>
      </c>
      <c r="B58" s="20" t="inlineStr">
        <is>
          <t>Royal Lexis KL</t>
        </is>
      </c>
      <c r="C58" s="21" t="inlineStr">
        <is>
          <t>Pass</t>
        </is>
      </c>
      <c r="D58" s="23" t="inlineStr">
        <is>
          <t>NO SOURCE</t>
        </is>
      </c>
      <c r="E58" s="23" t="inlineStr">
        <is>
          <t>NO SOURCE</t>
        </is>
      </c>
      <c r="F58" s="23" t="inlineStr">
        <is>
          <t>NO SOURCE</t>
        </is>
      </c>
      <c r="G58" s="23" t="inlineStr">
        <is>
          <t>NO SOURCE</t>
        </is>
      </c>
      <c r="H58" s="22" t="inlineStr">
        <is>
          <t>PASS</t>
        </is>
      </c>
      <c r="I58" s="22" t="inlineStr">
        <is>
          <t>PASS</t>
        </is>
      </c>
      <c r="J58" s="22" t="inlineStr">
        <is>
          <t>PASS</t>
        </is>
      </c>
      <c r="K58" s="22" t="inlineStr">
        <is>
          <t>PASS</t>
        </is>
      </c>
      <c r="L58" s="22" t="inlineStr">
        <is>
          <t>PASS</t>
        </is>
      </c>
      <c r="M58" s="22" t="inlineStr">
        <is>
          <t>PASS</t>
        </is>
      </c>
      <c r="N58" s="23" t="inlineStr">
        <is>
          <t>NO SOURCE</t>
        </is>
      </c>
      <c r="O58" s="22" t="inlineStr">
        <is>
          <t>PASS</t>
        </is>
      </c>
      <c r="P58" s="23" t="inlineStr">
        <is>
          <t>NO SOURCE</t>
        </is>
      </c>
      <c r="Q58" s="23" t="inlineStr">
        <is>
          <t>NO SOURCE</t>
        </is>
      </c>
      <c r="R58" s="23" t="inlineStr">
        <is>
          <t>NO SOURCE</t>
        </is>
      </c>
      <c r="S58" s="22" t="inlineStr">
        <is>
          <t>Pass</t>
        </is>
      </c>
      <c r="T58" s="24" t="inlineStr"/>
    </row>
    <row r="59">
      <c r="A59" s="19" t="n">
        <v>55</v>
      </c>
      <c r="B59" s="20" t="inlineStr">
        <is>
          <t>SO Sofitel Residences KLCC</t>
        </is>
      </c>
      <c r="C59" s="21" t="inlineStr">
        <is>
          <t>Pass</t>
        </is>
      </c>
      <c r="D59" s="22" t="inlineStr">
        <is>
          <t>PASS</t>
        </is>
      </c>
      <c r="E59" s="22" t="inlineStr">
        <is>
          <t>PASS</t>
        </is>
      </c>
      <c r="F59" s="22" t="inlineStr">
        <is>
          <t>PASS</t>
        </is>
      </c>
      <c r="G59" s="22" t="inlineStr">
        <is>
          <t>PASS</t>
        </is>
      </c>
      <c r="H59" s="22" t="inlineStr">
        <is>
          <t>PASS</t>
        </is>
      </c>
      <c r="I59" s="22" t="inlineStr">
        <is>
          <t>PASS</t>
        </is>
      </c>
      <c r="J59" s="19" t="inlineStr">
        <is>
          <t>—</t>
        </is>
      </c>
      <c r="K59" s="23" t="inlineStr">
        <is>
          <t>NO SOURCE</t>
        </is>
      </c>
      <c r="L59" s="22" t="inlineStr">
        <is>
          <t>PASS</t>
        </is>
      </c>
      <c r="M59" s="22" t="inlineStr">
        <is>
          <t>PASS</t>
        </is>
      </c>
      <c r="N59" s="19" t="inlineStr">
        <is>
          <t>—</t>
        </is>
      </c>
      <c r="O59" s="22" t="inlineStr">
        <is>
          <t>PASS</t>
        </is>
      </c>
      <c r="P59" s="23" t="inlineStr">
        <is>
          <t>NO SOURCE</t>
        </is>
      </c>
      <c r="Q59" s="23" t="inlineStr">
        <is>
          <t>NO SOURCE</t>
        </is>
      </c>
      <c r="R59" s="19" t="inlineStr">
        <is>
          <t>—</t>
        </is>
      </c>
      <c r="S59" s="31" t="inlineStr">
        <is>
          <t>Partial</t>
        </is>
      </c>
      <c r="T59" s="24" t="inlineStr"/>
    </row>
    <row r="60">
      <c r="A60" s="19" t="n">
        <v>56</v>
      </c>
      <c r="B60" s="20" t="inlineStr">
        <is>
          <t>Le Nouvel KLCC</t>
        </is>
      </c>
      <c r="C60" s="21" t="inlineStr">
        <is>
          <t>Pass</t>
        </is>
      </c>
      <c r="D60" s="23" t="inlineStr">
        <is>
          <t>NO SOURCE</t>
        </is>
      </c>
      <c r="E60" s="19" t="inlineStr">
        <is>
          <t>—</t>
        </is>
      </c>
      <c r="F60" s="23" t="inlineStr">
        <is>
          <t>NO SOURCE</t>
        </is>
      </c>
      <c r="G60" s="23" t="inlineStr">
        <is>
          <t>NO SOURCE</t>
        </is>
      </c>
      <c r="H60" s="22" t="inlineStr">
        <is>
          <t>PASS</t>
        </is>
      </c>
      <c r="I60" s="23" t="inlineStr">
        <is>
          <t>NO SOURCE</t>
        </is>
      </c>
      <c r="J60" s="22" t="inlineStr">
        <is>
          <t>PASS</t>
        </is>
      </c>
      <c r="K60" s="23" t="inlineStr">
        <is>
          <t>NO SOURCE</t>
        </is>
      </c>
      <c r="L60" s="22" t="inlineStr">
        <is>
          <t>PASS</t>
        </is>
      </c>
      <c r="M60" s="22" t="inlineStr">
        <is>
          <t>PASS</t>
        </is>
      </c>
      <c r="N60" s="23" t="inlineStr">
        <is>
          <t>NO SOURCE</t>
        </is>
      </c>
      <c r="O60" s="22" t="inlineStr">
        <is>
          <t>PASS</t>
        </is>
      </c>
      <c r="P60" s="23" t="inlineStr">
        <is>
          <t>NO SOURCE</t>
        </is>
      </c>
      <c r="Q60" s="23" t="inlineStr">
        <is>
          <t>NO SOURCE</t>
        </is>
      </c>
      <c r="R60" s="23" t="inlineStr">
        <is>
          <t>NO SOURCE</t>
        </is>
      </c>
      <c r="S60" s="19" t="inlineStr">
        <is>
          <t>Not run</t>
        </is>
      </c>
      <c r="T60" s="24" t="inlineStr"/>
    </row>
    <row r="61">
      <c r="A61" s="19" t="n">
        <v>57</v>
      </c>
      <c r="B61" s="20" t="inlineStr">
        <is>
          <t>Star Residences KLCC</t>
        </is>
      </c>
      <c r="C61" s="21" t="inlineStr">
        <is>
          <t>Pass</t>
        </is>
      </c>
      <c r="D61" s="23" t="inlineStr">
        <is>
          <t>NO SOURCE</t>
        </is>
      </c>
      <c r="E61" s="19" t="inlineStr">
        <is>
          <t>—</t>
        </is>
      </c>
      <c r="F61" s="23" t="inlineStr">
        <is>
          <t>NO SOURCE</t>
        </is>
      </c>
      <c r="G61" s="23" t="inlineStr">
        <is>
          <t>NO SOURCE</t>
        </is>
      </c>
      <c r="H61" s="22" t="inlineStr">
        <is>
          <t>PASS</t>
        </is>
      </c>
      <c r="I61" s="23" t="inlineStr">
        <is>
          <t>NO SOURCE</t>
        </is>
      </c>
      <c r="J61" s="23" t="inlineStr">
        <is>
          <t>NO SOURCE</t>
        </is>
      </c>
      <c r="K61" s="22" t="inlineStr">
        <is>
          <t>PASS</t>
        </is>
      </c>
      <c r="L61" s="22" t="inlineStr">
        <is>
          <t>PASS</t>
        </is>
      </c>
      <c r="M61" s="19" t="inlineStr">
        <is>
          <t>—</t>
        </is>
      </c>
      <c r="N61" s="19" t="inlineStr">
        <is>
          <t>—</t>
        </is>
      </c>
      <c r="O61" s="22" t="inlineStr">
        <is>
          <t>PASS</t>
        </is>
      </c>
      <c r="P61" s="23" t="inlineStr">
        <is>
          <t>NO SOURCE</t>
        </is>
      </c>
      <c r="Q61" s="23" t="inlineStr">
        <is>
          <t>NO SOURCE</t>
        </is>
      </c>
      <c r="R61" s="19" t="inlineStr">
        <is>
          <t>—</t>
        </is>
      </c>
      <c r="S61" s="22" t="inlineStr">
        <is>
          <t>Pass</t>
        </is>
      </c>
      <c r="T61" s="24" t="inlineStr"/>
    </row>
    <row r="62">
      <c r="A62" s="19" t="n">
        <v>58</v>
      </c>
      <c r="B62" s="20" t="inlineStr">
        <is>
          <t>Jewel by Oxley KLCC</t>
        </is>
      </c>
      <c r="C62" s="21" t="inlineStr">
        <is>
          <t>Pass</t>
        </is>
      </c>
      <c r="D62" s="22" t="inlineStr">
        <is>
          <t>PASS</t>
        </is>
      </c>
      <c r="E62" s="22" t="inlineStr">
        <is>
          <t>PASS</t>
        </is>
      </c>
      <c r="F62" s="22" t="inlineStr">
        <is>
          <t>PASS</t>
        </is>
      </c>
      <c r="G62" s="22" t="inlineStr">
        <is>
          <t>PASS</t>
        </is>
      </c>
      <c r="H62" s="22" t="inlineStr">
        <is>
          <t>PASS</t>
        </is>
      </c>
      <c r="I62" s="19" t="inlineStr">
        <is>
          <t>—</t>
        </is>
      </c>
      <c r="J62" s="19" t="inlineStr">
        <is>
          <t>—</t>
        </is>
      </c>
      <c r="K62" s="22" t="inlineStr">
        <is>
          <t>PASS</t>
        </is>
      </c>
      <c r="L62" s="22" t="inlineStr">
        <is>
          <t>PASS</t>
        </is>
      </c>
      <c r="M62" s="23" t="inlineStr">
        <is>
          <t>NO SOURCE</t>
        </is>
      </c>
      <c r="N62" s="22" t="inlineStr">
        <is>
          <t>PASS</t>
        </is>
      </c>
      <c r="O62" s="19" t="inlineStr">
        <is>
          <t>—</t>
        </is>
      </c>
      <c r="P62" s="23" t="inlineStr">
        <is>
          <t>NO SOURCE</t>
        </is>
      </c>
      <c r="Q62" s="23" t="inlineStr">
        <is>
          <t>NO SOURCE</t>
        </is>
      </c>
      <c r="R62" s="19" t="inlineStr">
        <is>
          <t>—</t>
        </is>
      </c>
      <c r="S62" s="19" t="inlineStr">
        <is>
          <t>Not run</t>
        </is>
      </c>
      <c r="T62" s="24" t="inlineStr"/>
    </row>
    <row r="63">
      <c r="A63" s="19" t="n">
        <v>59</v>
      </c>
      <c r="B63" s="20" t="inlineStr">
        <is>
          <t>Golden Crown Residence</t>
        </is>
      </c>
      <c r="C63" s="21" t="inlineStr">
        <is>
          <t>Pass</t>
        </is>
      </c>
      <c r="D63" s="23" t="inlineStr">
        <is>
          <t>NO SOURCE</t>
        </is>
      </c>
      <c r="E63" s="23" t="inlineStr">
        <is>
          <t>NO SOURCE</t>
        </is>
      </c>
      <c r="F63" s="23" t="inlineStr">
        <is>
          <t>NO SOURCE</t>
        </is>
      </c>
      <c r="G63" s="23" t="inlineStr">
        <is>
          <t>NO SOURCE</t>
        </is>
      </c>
      <c r="H63" s="22" t="inlineStr">
        <is>
          <t>PASS</t>
        </is>
      </c>
      <c r="I63" s="22" t="inlineStr">
        <is>
          <t>PASS</t>
        </is>
      </c>
      <c r="J63" s="22" t="inlineStr">
        <is>
          <t>PASS</t>
        </is>
      </c>
      <c r="K63" s="23" t="inlineStr">
        <is>
          <t>NO SOURCE</t>
        </is>
      </c>
      <c r="L63" s="22" t="inlineStr">
        <is>
          <t>PASS</t>
        </is>
      </c>
      <c r="M63" s="22" t="inlineStr">
        <is>
          <t>PASS</t>
        </is>
      </c>
      <c r="N63" s="22" t="inlineStr">
        <is>
          <t>PASS</t>
        </is>
      </c>
      <c r="O63" s="22" t="inlineStr">
        <is>
          <t>PASS</t>
        </is>
      </c>
      <c r="P63" s="23" t="inlineStr">
        <is>
          <t>NO SOURCE</t>
        </is>
      </c>
      <c r="Q63" s="23" t="inlineStr">
        <is>
          <t>NO SOURCE</t>
        </is>
      </c>
      <c r="R63" s="23" t="inlineStr">
        <is>
          <t>NO SOURCE</t>
        </is>
      </c>
      <c r="S63" s="19" t="inlineStr">
        <is>
          <t>Not run</t>
        </is>
      </c>
      <c r="T63" s="24" t="inlineStr"/>
    </row>
    <row r="64">
      <c r="A64" s="19" t="n">
        <v>60</v>
      </c>
      <c r="B64" s="20" t="inlineStr">
        <is>
          <t>SWNK Houze @ BBCC (Bukit Bintang City Centre)</t>
        </is>
      </c>
      <c r="C64" s="21" t="inlineStr">
        <is>
          <t>Pass</t>
        </is>
      </c>
      <c r="D64" s="23" t="inlineStr">
        <is>
          <t>NO SOURCE</t>
        </is>
      </c>
      <c r="E64" s="23" t="inlineStr">
        <is>
          <t>NO SOURCE</t>
        </is>
      </c>
      <c r="F64" s="23" t="inlineStr">
        <is>
          <t>NO SOURCE</t>
        </is>
      </c>
      <c r="G64" s="23" t="inlineStr">
        <is>
          <t>NO SOURCE</t>
        </is>
      </c>
      <c r="H64" s="22" t="inlineStr">
        <is>
          <t>PASS</t>
        </is>
      </c>
      <c r="I64" s="22" t="inlineStr">
        <is>
          <t>PASS</t>
        </is>
      </c>
      <c r="J64" s="22" t="inlineStr">
        <is>
          <t>PASS</t>
        </is>
      </c>
      <c r="K64" s="23" t="inlineStr">
        <is>
          <t>NO SOURCE</t>
        </is>
      </c>
      <c r="L64" s="23" t="inlineStr">
        <is>
          <t>NO SOURCE</t>
        </is>
      </c>
      <c r="M64" s="22" t="inlineStr">
        <is>
          <t>PASS</t>
        </is>
      </c>
      <c r="N64" s="22" t="inlineStr">
        <is>
          <t>PASS</t>
        </is>
      </c>
      <c r="O64" s="22" t="inlineStr">
        <is>
          <t>PASS</t>
        </is>
      </c>
      <c r="P64" s="23" t="inlineStr">
        <is>
          <t>NO SOURCE</t>
        </is>
      </c>
      <c r="Q64" s="23" t="inlineStr">
        <is>
          <t>NO SOURCE</t>
        </is>
      </c>
      <c r="R64" s="19" t="inlineStr">
        <is>
          <t>—</t>
        </is>
      </c>
      <c r="S64" s="19" t="inlineStr">
        <is>
          <t>Not run</t>
        </is>
      </c>
      <c r="T64" s="24" t="inlineStr"/>
    </row>
    <row r="65">
      <c r="A65" s="19" t="n">
        <v>61</v>
      </c>
      <c r="B65" s="20" t="inlineStr">
        <is>
          <t>Times Square 2 Residences Kuala Lumpur</t>
        </is>
      </c>
      <c r="C65" s="21" t="inlineStr">
        <is>
          <t>Pass</t>
        </is>
      </c>
      <c r="D65" s="23" t="inlineStr">
        <is>
          <t>NO SOURCE</t>
        </is>
      </c>
      <c r="E65" s="23" t="inlineStr">
        <is>
          <t>NO SOURCE</t>
        </is>
      </c>
      <c r="F65" s="23" t="inlineStr">
        <is>
          <t>NO SOURCE</t>
        </is>
      </c>
      <c r="G65" s="23" t="inlineStr">
        <is>
          <t>NO SOURCE</t>
        </is>
      </c>
      <c r="H65" s="22" t="inlineStr">
        <is>
          <t>PASS</t>
        </is>
      </c>
      <c r="I65" s="23" t="inlineStr">
        <is>
          <t>NO SOURCE</t>
        </is>
      </c>
      <c r="J65" s="23" t="inlineStr">
        <is>
          <t>NO SOURCE</t>
        </is>
      </c>
      <c r="K65" s="23" t="inlineStr">
        <is>
          <t>NO SOURCE</t>
        </is>
      </c>
      <c r="L65" s="23" t="inlineStr">
        <is>
          <t>NO SOURCE</t>
        </is>
      </c>
      <c r="M65" s="23" t="inlineStr">
        <is>
          <t>NO SOURCE</t>
        </is>
      </c>
      <c r="N65" s="23" t="inlineStr">
        <is>
          <t>NO SOURCE</t>
        </is>
      </c>
      <c r="O65" s="23" t="inlineStr">
        <is>
          <t>NO SOURCE</t>
        </is>
      </c>
      <c r="P65" s="23" t="inlineStr">
        <is>
          <t>NO SOURCE</t>
        </is>
      </c>
      <c r="Q65" s="23" t="inlineStr">
        <is>
          <t>NO SOURCE</t>
        </is>
      </c>
      <c r="R65" s="23" t="inlineStr">
        <is>
          <t>NO SOURCE</t>
        </is>
      </c>
      <c r="S65" s="22" t="inlineStr">
        <is>
          <t>Pass</t>
        </is>
      </c>
      <c r="T65" s="24" t="inlineStr"/>
    </row>
    <row r="66">
      <c r="A66" s="19" t="n">
        <v>62</v>
      </c>
      <c r="B66" s="20" t="inlineStr">
        <is>
          <t>The Manor KLCC</t>
        </is>
      </c>
      <c r="C66" s="21" t="inlineStr">
        <is>
          <t>Pass</t>
        </is>
      </c>
      <c r="D66" s="23" t="inlineStr">
        <is>
          <t>NO SOURCE</t>
        </is>
      </c>
      <c r="E66" s="19" t="inlineStr">
        <is>
          <t>—</t>
        </is>
      </c>
      <c r="F66" s="23" t="inlineStr">
        <is>
          <t>NO SOURCE</t>
        </is>
      </c>
      <c r="G66" s="23" t="inlineStr">
        <is>
          <t>NO SOURCE</t>
        </is>
      </c>
      <c r="H66" s="22" t="inlineStr">
        <is>
          <t>PASS</t>
        </is>
      </c>
      <c r="I66" s="22" t="inlineStr">
        <is>
          <t>PASS</t>
        </is>
      </c>
      <c r="J66" s="19" t="inlineStr">
        <is>
          <t>—</t>
        </is>
      </c>
      <c r="K66" s="23" t="inlineStr">
        <is>
          <t>NO SOURCE</t>
        </is>
      </c>
      <c r="L66" s="22" t="inlineStr">
        <is>
          <t>PASS</t>
        </is>
      </c>
      <c r="M66" s="22" t="inlineStr">
        <is>
          <t>PASS</t>
        </is>
      </c>
      <c r="N66" s="22" t="inlineStr">
        <is>
          <t>PASS</t>
        </is>
      </c>
      <c r="O66" s="19" t="inlineStr">
        <is>
          <t>—</t>
        </is>
      </c>
      <c r="P66" s="23" t="inlineStr">
        <is>
          <t>NO SOURCE</t>
        </is>
      </c>
      <c r="Q66" s="19" t="inlineStr">
        <is>
          <t>—</t>
        </is>
      </c>
      <c r="R66" s="19" t="inlineStr">
        <is>
          <t>—</t>
        </is>
      </c>
      <c r="S66" s="22" t="inlineStr">
        <is>
          <t>Pass</t>
        </is>
      </c>
      <c r="T66" s="24" t="inlineStr"/>
    </row>
    <row r="67">
      <c r="A67" s="19" t="n">
        <v>63</v>
      </c>
      <c r="B67" s="20" t="inlineStr">
        <is>
          <t>TRX Residences</t>
        </is>
      </c>
      <c r="C67" s="21" t="inlineStr">
        <is>
          <t>Pass</t>
        </is>
      </c>
      <c r="D67" s="23" t="inlineStr">
        <is>
          <t>NO SOURCE</t>
        </is>
      </c>
      <c r="E67" s="23" t="inlineStr">
        <is>
          <t>NO SOURCE</t>
        </is>
      </c>
      <c r="F67" s="23" t="inlineStr">
        <is>
          <t>NO SOURCE</t>
        </is>
      </c>
      <c r="G67" s="23" t="inlineStr">
        <is>
          <t>NO SOURCE</t>
        </is>
      </c>
      <c r="H67" s="22" t="inlineStr">
        <is>
          <t>PASS</t>
        </is>
      </c>
      <c r="I67" s="23" t="inlineStr">
        <is>
          <t>NO SOURCE</t>
        </is>
      </c>
      <c r="J67" s="23" t="inlineStr">
        <is>
          <t>NO SOURCE</t>
        </is>
      </c>
      <c r="K67" s="23" t="inlineStr">
        <is>
          <t>NO SOURCE</t>
        </is>
      </c>
      <c r="L67" s="22" t="inlineStr">
        <is>
          <t>PASS</t>
        </is>
      </c>
      <c r="M67" s="22" t="inlineStr">
        <is>
          <t>PASS</t>
        </is>
      </c>
      <c r="N67" s="23" t="inlineStr">
        <is>
          <t>NO SOURCE</t>
        </is>
      </c>
      <c r="O67" s="22" t="inlineStr">
        <is>
          <t>PASS</t>
        </is>
      </c>
      <c r="P67" s="19" t="inlineStr">
        <is>
          <t>—</t>
        </is>
      </c>
      <c r="Q67" s="23" t="inlineStr">
        <is>
          <t>NO SOURCE</t>
        </is>
      </c>
      <c r="R67" s="23" t="inlineStr">
        <is>
          <t>NO SOURCE</t>
        </is>
      </c>
      <c r="S67" s="22" t="inlineStr">
        <is>
          <t>Pass</t>
        </is>
      </c>
      <c r="T67" s="24" t="inlineStr"/>
    </row>
    <row r="68">
      <c r="A68" s="19" t="n">
        <v>64</v>
      </c>
      <c r="B68" s="20" t="inlineStr">
        <is>
          <t>The Oval Kuala Lumpur</t>
        </is>
      </c>
      <c r="C68" s="21" t="inlineStr">
        <is>
          <t>Pass</t>
        </is>
      </c>
      <c r="D68" s="23" t="inlineStr">
        <is>
          <t>NO SOURCE</t>
        </is>
      </c>
      <c r="E68" s="19" t="inlineStr">
        <is>
          <t>—</t>
        </is>
      </c>
      <c r="F68" s="23" t="inlineStr">
        <is>
          <t>NO SOURCE</t>
        </is>
      </c>
      <c r="G68" s="23" t="inlineStr">
        <is>
          <t>NO SOURCE</t>
        </is>
      </c>
      <c r="H68" s="22" t="inlineStr">
        <is>
          <t>PASS</t>
        </is>
      </c>
      <c r="I68" s="22" t="inlineStr">
        <is>
          <t>PASS</t>
        </is>
      </c>
      <c r="J68" s="22" t="inlineStr">
        <is>
          <t>PASS</t>
        </is>
      </c>
      <c r="K68" s="23" t="inlineStr">
        <is>
          <t>NO SOURCE</t>
        </is>
      </c>
      <c r="L68" s="22" t="inlineStr">
        <is>
          <t>PASS</t>
        </is>
      </c>
      <c r="M68" s="23" t="inlineStr">
        <is>
          <t>NO SOURCE</t>
        </is>
      </c>
      <c r="N68" s="22" t="inlineStr">
        <is>
          <t>PASS</t>
        </is>
      </c>
      <c r="O68" s="23" t="inlineStr">
        <is>
          <t>NO SOURCE</t>
        </is>
      </c>
      <c r="P68" s="23" t="inlineStr">
        <is>
          <t>NO SOURCE</t>
        </is>
      </c>
      <c r="Q68" s="23" t="inlineStr">
        <is>
          <t>NO SOURCE</t>
        </is>
      </c>
      <c r="R68" s="23" t="inlineStr">
        <is>
          <t>NO SOURCE</t>
        </is>
      </c>
      <c r="S68" s="19" t="inlineStr">
        <is>
          <t>Not run</t>
        </is>
      </c>
      <c r="T68" s="24" t="inlineStr"/>
    </row>
    <row r="69">
      <c r="A69" s="19" t="n">
        <v>65</v>
      </c>
      <c r="B69" s="20" t="inlineStr">
        <is>
          <t>The Ritz- Carlton Residences</t>
        </is>
      </c>
      <c r="C69" s="29" t="inlineStr">
        <is>
          <t>Needs ruling</t>
        </is>
      </c>
      <c r="D69" s="23" t="inlineStr">
        <is>
          <t>NO SOURCE</t>
        </is>
      </c>
      <c r="E69" s="19" t="inlineStr">
        <is>
          <t>—</t>
        </is>
      </c>
      <c r="F69" s="23" t="inlineStr">
        <is>
          <t>NO SOURCE</t>
        </is>
      </c>
      <c r="G69" s="23" t="inlineStr">
        <is>
          <t>NO SOURCE</t>
        </is>
      </c>
      <c r="H69" s="25" t="inlineStr">
        <is>
          <t>CONFLICT</t>
        </is>
      </c>
      <c r="I69" s="19" t="inlineStr">
        <is>
          <t>—</t>
        </is>
      </c>
      <c r="J69" s="19" t="inlineStr">
        <is>
          <t>—</t>
        </is>
      </c>
      <c r="K69" s="23" t="inlineStr">
        <is>
          <t>NO SOURCE</t>
        </is>
      </c>
      <c r="L69" s="22" t="inlineStr">
        <is>
          <t>PASS</t>
        </is>
      </c>
      <c r="M69" s="22" t="inlineStr">
        <is>
          <t>PASS</t>
        </is>
      </c>
      <c r="N69" s="19" t="inlineStr">
        <is>
          <t>—</t>
        </is>
      </c>
      <c r="O69" s="22" t="inlineStr">
        <is>
          <t>PASS</t>
        </is>
      </c>
      <c r="P69" s="23" t="inlineStr">
        <is>
          <t>NO SOURCE</t>
        </is>
      </c>
      <c r="Q69" s="23" t="inlineStr">
        <is>
          <t>NO SOURCE</t>
        </is>
      </c>
      <c r="R69" s="19" t="inlineStr">
        <is>
          <t>—</t>
        </is>
      </c>
      <c r="S69" s="19" t="inlineStr">
        <is>
          <t>Not run</t>
        </is>
      </c>
      <c r="T69" s="24" t="inlineStr">
        <is>
          <t>Area: Sheet: "105, Jalan Ampang"; bot: "Jalan Sultan Ismail, KLCC Golden Triangle"</t>
        </is>
      </c>
    </row>
    <row r="70">
      <c r="A70" s="19" t="n">
        <v>66</v>
      </c>
      <c r="B70" s="20" t="inlineStr">
        <is>
          <t>The Stride Office @ BBCC</t>
        </is>
      </c>
      <c r="C70" s="21" t="inlineStr">
        <is>
          <t>Pass</t>
        </is>
      </c>
      <c r="D70" s="23" t="inlineStr">
        <is>
          <t>NO SOURCE</t>
        </is>
      </c>
      <c r="E70" s="19" t="inlineStr">
        <is>
          <t>—</t>
        </is>
      </c>
      <c r="F70" s="19" t="inlineStr">
        <is>
          <t>—</t>
        </is>
      </c>
      <c r="G70" s="19" t="inlineStr">
        <is>
          <t>—</t>
        </is>
      </c>
      <c r="H70" s="22" t="inlineStr">
        <is>
          <t>PASS</t>
        </is>
      </c>
      <c r="I70" s="22" t="inlineStr">
        <is>
          <t>PASS</t>
        </is>
      </c>
      <c r="J70" s="22" t="inlineStr">
        <is>
          <t>PASS</t>
        </is>
      </c>
      <c r="K70" s="19" t="inlineStr">
        <is>
          <t>—</t>
        </is>
      </c>
      <c r="L70" s="23" t="inlineStr">
        <is>
          <t>NO SOURCE</t>
        </is>
      </c>
      <c r="M70" s="22" t="inlineStr">
        <is>
          <t>PASS</t>
        </is>
      </c>
      <c r="N70" s="22" t="inlineStr">
        <is>
          <t>PASS</t>
        </is>
      </c>
      <c r="O70" s="19" t="inlineStr">
        <is>
          <t>—</t>
        </is>
      </c>
      <c r="P70" s="23" t="inlineStr">
        <is>
          <t>NO SOURCE</t>
        </is>
      </c>
      <c r="Q70" s="19" t="inlineStr">
        <is>
          <t>—</t>
        </is>
      </c>
      <c r="R70" s="19" t="inlineStr">
        <is>
          <t>—</t>
        </is>
      </c>
      <c r="S70" s="19" t="inlineStr">
        <is>
          <t>Not run</t>
        </is>
      </c>
      <c r="T70" s="24" t="inlineStr"/>
    </row>
    <row r="71">
      <c r="A71" s="19" t="n">
        <v>67</v>
      </c>
      <c r="B71" s="20" t="inlineStr">
        <is>
          <t>Rimbun Saujana Residency</t>
        </is>
      </c>
      <c r="C71" s="21" t="inlineStr">
        <is>
          <t>Pass</t>
        </is>
      </c>
      <c r="D71" s="23" t="inlineStr">
        <is>
          <t>NO SOURCE</t>
        </is>
      </c>
      <c r="E71" s="19" t="inlineStr">
        <is>
          <t>—</t>
        </is>
      </c>
      <c r="F71" s="23" t="inlineStr">
        <is>
          <t>NO SOURCE</t>
        </is>
      </c>
      <c r="G71" s="23" t="inlineStr">
        <is>
          <t>NO SOURCE</t>
        </is>
      </c>
      <c r="H71" s="22" t="inlineStr">
        <is>
          <t>PASS</t>
        </is>
      </c>
      <c r="I71" s="22" t="inlineStr">
        <is>
          <t>PASS</t>
        </is>
      </c>
      <c r="J71" s="22" t="inlineStr">
        <is>
          <t>PASS</t>
        </is>
      </c>
      <c r="K71" s="22" t="inlineStr">
        <is>
          <t>PASS</t>
        </is>
      </c>
      <c r="L71" s="22" t="inlineStr">
        <is>
          <t>PASS</t>
        </is>
      </c>
      <c r="M71" s="23" t="inlineStr">
        <is>
          <t>NO SOURCE</t>
        </is>
      </c>
      <c r="N71" s="23" t="inlineStr">
        <is>
          <t>NO SOURCE</t>
        </is>
      </c>
      <c r="O71" s="22" t="inlineStr">
        <is>
          <t>PASS</t>
        </is>
      </c>
      <c r="P71" s="23" t="inlineStr">
        <is>
          <t>NO SOURCE</t>
        </is>
      </c>
      <c r="Q71" s="23" t="inlineStr">
        <is>
          <t>NO SOURCE</t>
        </is>
      </c>
      <c r="R71" s="19" t="inlineStr">
        <is>
          <t>—</t>
        </is>
      </c>
      <c r="S71" s="22" t="inlineStr">
        <is>
          <t>Pass</t>
        </is>
      </c>
      <c r="T71" s="24" t="inlineStr"/>
    </row>
    <row r="72">
      <c r="A72" s="19" t="n">
        <v>68</v>
      </c>
      <c r="B72" s="20" t="inlineStr">
        <is>
          <t>Luminar Residence Subang by BRDB</t>
        </is>
      </c>
      <c r="C72" s="21" t="inlineStr">
        <is>
          <t>Pass</t>
        </is>
      </c>
      <c r="D72" s="22" t="inlineStr">
        <is>
          <t>PASS</t>
        </is>
      </c>
      <c r="E72" s="22" t="inlineStr">
        <is>
          <t>PASS</t>
        </is>
      </c>
      <c r="F72" s="22" t="inlineStr">
        <is>
          <t>PASS</t>
        </is>
      </c>
      <c r="G72" s="22" t="inlineStr">
        <is>
          <t>PASS</t>
        </is>
      </c>
      <c r="H72" s="22" t="inlineStr">
        <is>
          <t>PASS</t>
        </is>
      </c>
      <c r="I72" s="22" t="inlineStr">
        <is>
          <t>PASS</t>
        </is>
      </c>
      <c r="J72" s="22" t="inlineStr">
        <is>
          <t>PASS</t>
        </is>
      </c>
      <c r="K72" s="22" t="inlineStr">
        <is>
          <t>PASS</t>
        </is>
      </c>
      <c r="L72" s="22" t="inlineStr">
        <is>
          <t>PASS</t>
        </is>
      </c>
      <c r="M72" s="22" t="inlineStr">
        <is>
          <t>PASS</t>
        </is>
      </c>
      <c r="N72" s="23" t="inlineStr">
        <is>
          <t>NO SOURCE</t>
        </is>
      </c>
      <c r="O72" s="22" t="inlineStr">
        <is>
          <t>PASS</t>
        </is>
      </c>
      <c r="P72" s="23" t="inlineStr">
        <is>
          <t>NO SOURCE</t>
        </is>
      </c>
      <c r="Q72" s="23" t="inlineStr">
        <is>
          <t>NO SOURCE</t>
        </is>
      </c>
      <c r="R72" s="23" t="inlineStr">
        <is>
          <t>NO SOURCE</t>
        </is>
      </c>
      <c r="S72" s="22" t="inlineStr">
        <is>
          <t>Pass</t>
        </is>
      </c>
      <c r="T72" s="24" t="inlineStr"/>
    </row>
    <row r="73">
      <c r="A73" s="19" t="n">
        <v>69</v>
      </c>
      <c r="B73" s="20" t="inlineStr">
        <is>
          <t>Accent PJ</t>
        </is>
      </c>
      <c r="C73" s="21" t="inlineStr">
        <is>
          <t>Pass</t>
        </is>
      </c>
      <c r="D73" s="23" t="inlineStr">
        <is>
          <t>NO SOURCE</t>
        </is>
      </c>
      <c r="E73" s="19" t="inlineStr">
        <is>
          <t>—</t>
        </is>
      </c>
      <c r="F73" s="23" t="inlineStr">
        <is>
          <t>NO SOURCE</t>
        </is>
      </c>
      <c r="G73" s="23" t="inlineStr">
        <is>
          <t>NO SOURCE</t>
        </is>
      </c>
      <c r="H73" s="22" t="inlineStr">
        <is>
          <t>PASS</t>
        </is>
      </c>
      <c r="I73" s="22" t="inlineStr">
        <is>
          <t>PASS</t>
        </is>
      </c>
      <c r="J73" s="22" t="inlineStr">
        <is>
          <t>PASS</t>
        </is>
      </c>
      <c r="K73" s="22" t="inlineStr">
        <is>
          <t>PASS</t>
        </is>
      </c>
      <c r="L73" s="22" t="inlineStr">
        <is>
          <t>PASS</t>
        </is>
      </c>
      <c r="M73" s="23" t="inlineStr">
        <is>
          <t>NO SOURCE</t>
        </is>
      </c>
      <c r="N73" s="23" t="inlineStr">
        <is>
          <t>NO SOURCE</t>
        </is>
      </c>
      <c r="O73" s="22" t="inlineStr">
        <is>
          <t>PASS</t>
        </is>
      </c>
      <c r="P73" s="23" t="inlineStr">
        <is>
          <t>NO SOURCE</t>
        </is>
      </c>
      <c r="Q73" s="23" t="inlineStr">
        <is>
          <t>NO SOURCE</t>
        </is>
      </c>
      <c r="R73" s="23" t="inlineStr">
        <is>
          <t>NO SOURCE</t>
        </is>
      </c>
      <c r="S73" s="22" t="inlineStr">
        <is>
          <t>Pass</t>
        </is>
      </c>
      <c r="T73" s="24" t="inlineStr"/>
    </row>
    <row r="74">
      <c r="A74" s="19" t="n">
        <v>70</v>
      </c>
      <c r="B74" s="20" t="inlineStr">
        <is>
          <t>26 Araville PJ</t>
        </is>
      </c>
      <c r="C74" s="21" t="inlineStr">
        <is>
          <t>Pass</t>
        </is>
      </c>
      <c r="D74" s="23" t="inlineStr">
        <is>
          <t>NO SOURCE</t>
        </is>
      </c>
      <c r="E74" s="19" t="inlineStr">
        <is>
          <t>—</t>
        </is>
      </c>
      <c r="F74" s="23" t="inlineStr">
        <is>
          <t>NO SOURCE</t>
        </is>
      </c>
      <c r="G74" s="23" t="inlineStr">
        <is>
          <t>NO SOURCE</t>
        </is>
      </c>
      <c r="H74" s="22" t="inlineStr">
        <is>
          <t>PASS</t>
        </is>
      </c>
      <c r="I74" s="22" t="inlineStr">
        <is>
          <t>PASS</t>
        </is>
      </c>
      <c r="J74" s="22" t="inlineStr">
        <is>
          <t>PASS</t>
        </is>
      </c>
      <c r="K74" s="22" t="inlineStr">
        <is>
          <t>PASS</t>
        </is>
      </c>
      <c r="L74" s="22" t="inlineStr">
        <is>
          <t>PASS</t>
        </is>
      </c>
      <c r="M74" s="22" t="inlineStr">
        <is>
          <t>PASS</t>
        </is>
      </c>
      <c r="N74" s="23" t="inlineStr">
        <is>
          <t>NO SOURCE</t>
        </is>
      </c>
      <c r="O74" s="22" t="inlineStr">
        <is>
          <t>PASS</t>
        </is>
      </c>
      <c r="P74" s="23" t="inlineStr">
        <is>
          <t>NO SOURCE</t>
        </is>
      </c>
      <c r="Q74" s="23" t="inlineStr">
        <is>
          <t>NO SOURCE</t>
        </is>
      </c>
      <c r="R74" s="23" t="inlineStr">
        <is>
          <t>NO SOURCE</t>
        </is>
      </c>
      <c r="S74" s="22" t="inlineStr">
        <is>
          <t>Pass</t>
        </is>
      </c>
      <c r="T74" s="24" t="inlineStr"/>
    </row>
    <row r="75">
      <c r="A75" s="19" t="n">
        <v>71</v>
      </c>
      <c r="B75" s="20" t="inlineStr">
        <is>
          <t>The Atera, PJ by Paramount Property</t>
        </is>
      </c>
      <c r="C75" s="21" t="inlineStr">
        <is>
          <t>Pass</t>
        </is>
      </c>
      <c r="D75" s="23" t="inlineStr">
        <is>
          <t>NO SOURCE</t>
        </is>
      </c>
      <c r="E75" s="19" t="inlineStr">
        <is>
          <t>—</t>
        </is>
      </c>
      <c r="F75" s="23" t="inlineStr">
        <is>
          <t>NO SOURCE</t>
        </is>
      </c>
      <c r="G75" s="23" t="inlineStr">
        <is>
          <t>NO SOURCE</t>
        </is>
      </c>
      <c r="H75" s="22" t="inlineStr">
        <is>
          <t>PASS</t>
        </is>
      </c>
      <c r="I75" s="22" t="inlineStr">
        <is>
          <t>PASS</t>
        </is>
      </c>
      <c r="J75" s="22" t="inlineStr">
        <is>
          <t>PASS</t>
        </is>
      </c>
      <c r="K75" s="22" t="inlineStr">
        <is>
          <t>PASS</t>
        </is>
      </c>
      <c r="L75" s="22" t="inlineStr">
        <is>
          <t>PASS</t>
        </is>
      </c>
      <c r="M75" s="23" t="inlineStr">
        <is>
          <t>NO SOURCE</t>
        </is>
      </c>
      <c r="N75" s="23" t="inlineStr">
        <is>
          <t>NO SOURCE</t>
        </is>
      </c>
      <c r="O75" s="22" t="inlineStr">
        <is>
          <t>PASS</t>
        </is>
      </c>
      <c r="P75" s="19" t="inlineStr">
        <is>
          <t>—</t>
        </is>
      </c>
      <c r="Q75" s="23" t="inlineStr">
        <is>
          <t>NO SOURCE</t>
        </is>
      </c>
      <c r="R75" s="23" t="inlineStr">
        <is>
          <t>NO SOURCE</t>
        </is>
      </c>
      <c r="S75" s="22" t="inlineStr">
        <is>
          <t>Pass</t>
        </is>
      </c>
      <c r="T75" s="24" t="inlineStr"/>
    </row>
    <row r="76">
      <c r="A76" s="19" t="n">
        <v>72</v>
      </c>
      <c r="B76" s="20" t="inlineStr">
        <is>
          <t>Anyara Hills</t>
        </is>
      </c>
      <c r="C76" s="21" t="inlineStr">
        <is>
          <t>Pass</t>
        </is>
      </c>
      <c r="D76" s="19" t="inlineStr">
        <is>
          <t>—</t>
        </is>
      </c>
      <c r="E76" s="19" t="inlineStr">
        <is>
          <t>—</t>
        </is>
      </c>
      <c r="F76" s="23" t="inlineStr">
        <is>
          <t>NO SOURCE</t>
        </is>
      </c>
      <c r="G76" s="23" t="inlineStr">
        <is>
          <t>NO SOURCE</t>
        </is>
      </c>
      <c r="H76" s="22" t="inlineStr">
        <is>
          <t>PASS</t>
        </is>
      </c>
      <c r="I76" s="22" t="inlineStr">
        <is>
          <t>PASS</t>
        </is>
      </c>
      <c r="J76" s="22" t="inlineStr">
        <is>
          <t>PASS</t>
        </is>
      </c>
      <c r="K76" s="23" t="inlineStr">
        <is>
          <t>NO SOURCE</t>
        </is>
      </c>
      <c r="L76" s="22" t="inlineStr">
        <is>
          <t>PASS</t>
        </is>
      </c>
      <c r="M76" s="22" t="inlineStr">
        <is>
          <t>PASS</t>
        </is>
      </c>
      <c r="N76" s="19" t="inlineStr">
        <is>
          <t>—</t>
        </is>
      </c>
      <c r="O76" s="22" t="inlineStr">
        <is>
          <t>PASS</t>
        </is>
      </c>
      <c r="P76" s="23" t="inlineStr">
        <is>
          <t>NO SOURCE</t>
        </is>
      </c>
      <c r="Q76" s="19" t="inlineStr">
        <is>
          <t>—</t>
        </is>
      </c>
      <c r="R76" s="19" t="inlineStr">
        <is>
          <t>—</t>
        </is>
      </c>
      <c r="S76" s="19" t="inlineStr">
        <is>
          <t>Not run</t>
        </is>
      </c>
      <c r="T76" s="24" t="inlineStr"/>
    </row>
    <row r="77">
      <c r="A77" s="19" t="n">
        <v>73</v>
      </c>
      <c r="B77" s="20" t="inlineStr">
        <is>
          <t>Yanu Hills @ Bon Estates</t>
        </is>
      </c>
      <c r="C77" s="21" t="inlineStr">
        <is>
          <t>Pass</t>
        </is>
      </c>
      <c r="D77" s="23" t="inlineStr">
        <is>
          <t>NO SOURCE</t>
        </is>
      </c>
      <c r="E77" s="19" t="inlineStr">
        <is>
          <t>—</t>
        </is>
      </c>
      <c r="F77" s="23" t="inlineStr">
        <is>
          <t>NO SOURCE</t>
        </is>
      </c>
      <c r="G77" s="23" t="inlineStr">
        <is>
          <t>NO SOURCE</t>
        </is>
      </c>
      <c r="H77" s="22" t="inlineStr">
        <is>
          <t>PASS</t>
        </is>
      </c>
      <c r="I77" s="23" t="inlineStr">
        <is>
          <t>NO SOURCE</t>
        </is>
      </c>
      <c r="J77" s="22" t="inlineStr">
        <is>
          <t>PASS</t>
        </is>
      </c>
      <c r="K77" s="22" t="inlineStr">
        <is>
          <t>PASS</t>
        </is>
      </c>
      <c r="L77" s="22" t="inlineStr">
        <is>
          <t>PASS</t>
        </is>
      </c>
      <c r="M77" s="22" t="inlineStr">
        <is>
          <t>PASS</t>
        </is>
      </c>
      <c r="N77" s="23" t="inlineStr">
        <is>
          <t>NO SOURCE</t>
        </is>
      </c>
      <c r="O77" s="22" t="inlineStr">
        <is>
          <t>PASS</t>
        </is>
      </c>
      <c r="P77" s="23" t="inlineStr">
        <is>
          <t>NO SOURCE</t>
        </is>
      </c>
      <c r="Q77" s="19" t="inlineStr">
        <is>
          <t>—</t>
        </is>
      </c>
      <c r="R77" s="19" t="inlineStr">
        <is>
          <t>—</t>
        </is>
      </c>
      <c r="S77" s="19" t="inlineStr">
        <is>
          <t>Not run</t>
        </is>
      </c>
      <c r="T77" s="24" t="inlineStr"/>
    </row>
    <row r="78">
      <c r="A78" s="19" t="n">
        <v>74</v>
      </c>
      <c r="B78" s="20" t="inlineStr">
        <is>
          <t>Rafflesia @ Hill 4</t>
        </is>
      </c>
      <c r="C78" s="21" t="inlineStr">
        <is>
          <t>Pass</t>
        </is>
      </c>
      <c r="D78" s="22" t="inlineStr">
        <is>
          <t>PASS</t>
        </is>
      </c>
      <c r="E78" s="22" t="inlineStr">
        <is>
          <t>PASS</t>
        </is>
      </c>
      <c r="F78" s="22" t="inlineStr">
        <is>
          <t>PASS</t>
        </is>
      </c>
      <c r="G78" s="22" t="inlineStr">
        <is>
          <t>PASS</t>
        </is>
      </c>
      <c r="H78" s="23" t="inlineStr">
        <is>
          <t>NO SOURCE</t>
        </is>
      </c>
      <c r="I78" s="22" t="inlineStr">
        <is>
          <t>PASS</t>
        </is>
      </c>
      <c r="J78" s="22" t="inlineStr">
        <is>
          <t>PASS</t>
        </is>
      </c>
      <c r="K78" s="22" t="inlineStr">
        <is>
          <t>PASS</t>
        </is>
      </c>
      <c r="L78" s="22" t="inlineStr">
        <is>
          <t>PASS</t>
        </is>
      </c>
      <c r="M78" s="22" t="inlineStr">
        <is>
          <t>PASS</t>
        </is>
      </c>
      <c r="N78" s="23" t="inlineStr">
        <is>
          <t>NO SOURCE</t>
        </is>
      </c>
      <c r="O78" s="22" t="inlineStr">
        <is>
          <t>PASS</t>
        </is>
      </c>
      <c r="P78" s="22" t="inlineStr">
        <is>
          <t>PASS</t>
        </is>
      </c>
      <c r="Q78" s="22" t="inlineStr">
        <is>
          <t>PASS</t>
        </is>
      </c>
      <c r="R78" s="23" t="inlineStr">
        <is>
          <t>NO SOURCE</t>
        </is>
      </c>
      <c r="S78" s="19" t="inlineStr">
        <is>
          <t>Not run</t>
        </is>
      </c>
      <c r="T78" s="24" t="inlineStr">
        <is>
          <t>Developer: MK Land</t>
        </is>
      </c>
    </row>
    <row r="79">
      <c r="A79" s="19" t="n">
        <v>75</v>
      </c>
      <c r="B79" s="20" t="inlineStr">
        <is>
          <t>DAYA Residence</t>
        </is>
      </c>
      <c r="C79" s="21" t="inlineStr">
        <is>
          <t>Pass</t>
        </is>
      </c>
      <c r="D79" s="23" t="inlineStr">
        <is>
          <t>NO SOURCE</t>
        </is>
      </c>
      <c r="E79" s="19" t="inlineStr">
        <is>
          <t>—</t>
        </is>
      </c>
      <c r="F79" s="23" t="inlineStr">
        <is>
          <t>NO SOURCE</t>
        </is>
      </c>
      <c r="G79" s="23" t="inlineStr">
        <is>
          <t>NO SOURCE</t>
        </is>
      </c>
      <c r="H79" s="22" t="inlineStr">
        <is>
          <t>PASS</t>
        </is>
      </c>
      <c r="I79" s="22" t="inlineStr">
        <is>
          <t>PASS</t>
        </is>
      </c>
      <c r="J79" s="22" t="inlineStr">
        <is>
          <t>PASS</t>
        </is>
      </c>
      <c r="K79" s="23" t="inlineStr">
        <is>
          <t>NO SOURCE</t>
        </is>
      </c>
      <c r="L79" s="22" t="inlineStr">
        <is>
          <t>PASS</t>
        </is>
      </c>
      <c r="M79" s="22" t="inlineStr">
        <is>
          <t>PASS</t>
        </is>
      </c>
      <c r="N79" s="19" t="inlineStr">
        <is>
          <t>—</t>
        </is>
      </c>
      <c r="O79" s="22" t="inlineStr">
        <is>
          <t>PASS</t>
        </is>
      </c>
      <c r="P79" s="19" t="inlineStr">
        <is>
          <t>—</t>
        </is>
      </c>
      <c r="Q79" s="19" t="inlineStr">
        <is>
          <t>—</t>
        </is>
      </c>
      <c r="R79" s="19" t="inlineStr">
        <is>
          <t>—</t>
        </is>
      </c>
      <c r="S79" s="19" t="inlineStr">
        <is>
          <t>Not run</t>
        </is>
      </c>
      <c r="T79" s="24" t="inlineStr"/>
    </row>
    <row r="80">
      <c r="A80" s="19" t="n">
        <v>76</v>
      </c>
      <c r="B80" s="20" t="inlineStr">
        <is>
          <t>Vila Setara Happy Garden</t>
        </is>
      </c>
      <c r="C80" s="21" t="inlineStr">
        <is>
          <t>Pass</t>
        </is>
      </c>
      <c r="D80" s="23" t="inlineStr">
        <is>
          <t>NO SOURCE</t>
        </is>
      </c>
      <c r="E80" s="23" t="inlineStr">
        <is>
          <t>NO SOURCE</t>
        </is>
      </c>
      <c r="F80" s="23" t="inlineStr">
        <is>
          <t>NO SOURCE</t>
        </is>
      </c>
      <c r="G80" s="23" t="inlineStr">
        <is>
          <t>NO SOURCE</t>
        </is>
      </c>
      <c r="H80" s="22" t="inlineStr">
        <is>
          <t>PASS</t>
        </is>
      </c>
      <c r="I80" s="22" t="inlineStr">
        <is>
          <t>PASS</t>
        </is>
      </c>
      <c r="J80" s="19" t="inlineStr">
        <is>
          <t>—</t>
        </is>
      </c>
      <c r="K80" s="19" t="inlineStr">
        <is>
          <t>—</t>
        </is>
      </c>
      <c r="L80" s="22" t="inlineStr">
        <is>
          <t>PASS</t>
        </is>
      </c>
      <c r="M80" s="22" t="inlineStr">
        <is>
          <t>PASS</t>
        </is>
      </c>
      <c r="N80" s="23" t="inlineStr">
        <is>
          <t>NO SOURCE</t>
        </is>
      </c>
      <c r="O80" s="22" t="inlineStr">
        <is>
          <t>PASS</t>
        </is>
      </c>
      <c r="P80" s="23" t="inlineStr">
        <is>
          <t>NO SOURCE</t>
        </is>
      </c>
      <c r="Q80" s="19" t="inlineStr">
        <is>
          <t>—</t>
        </is>
      </c>
      <c r="R80" s="23" t="inlineStr">
        <is>
          <t>NO SOURCE</t>
        </is>
      </c>
      <c r="S80" s="19" t="inlineStr">
        <is>
          <t>Not run</t>
        </is>
      </c>
      <c r="T80" s="24" t="inlineStr"/>
    </row>
    <row r="81">
      <c r="A81" s="19" t="n">
        <v>77</v>
      </c>
      <c r="B81" s="20" t="inlineStr">
        <is>
          <t>E&amp;O – City of Elmina (Laman Embun Commercial)</t>
        </is>
      </c>
      <c r="C81" s="21" t="inlineStr">
        <is>
          <t>Pass</t>
        </is>
      </c>
      <c r="D81" s="23" t="inlineStr">
        <is>
          <t>NO SOURCE</t>
        </is>
      </c>
      <c r="E81" s="19" t="inlineStr">
        <is>
          <t>—</t>
        </is>
      </c>
      <c r="F81" s="23" t="inlineStr">
        <is>
          <t>NO SOURCE</t>
        </is>
      </c>
      <c r="G81" s="23" t="inlineStr">
        <is>
          <t>NO SOURCE</t>
        </is>
      </c>
      <c r="H81" s="22" t="inlineStr">
        <is>
          <t>PASS</t>
        </is>
      </c>
      <c r="I81" s="22" t="inlineStr">
        <is>
          <t>PASS</t>
        </is>
      </c>
      <c r="J81" s="22" t="inlineStr">
        <is>
          <t>PASS</t>
        </is>
      </c>
      <c r="K81" s="19" t="inlineStr">
        <is>
          <t>—</t>
        </is>
      </c>
      <c r="L81" s="22" t="inlineStr">
        <is>
          <t>PASS</t>
        </is>
      </c>
      <c r="M81" s="22" t="inlineStr">
        <is>
          <t>PASS</t>
        </is>
      </c>
      <c r="N81" s="23" t="inlineStr">
        <is>
          <t>NO SOURCE</t>
        </is>
      </c>
      <c r="O81" s="22" t="inlineStr">
        <is>
          <t>PASS</t>
        </is>
      </c>
      <c r="P81" s="23" t="inlineStr">
        <is>
          <t>NO SOURCE</t>
        </is>
      </c>
      <c r="Q81" s="19" t="inlineStr">
        <is>
          <t>—</t>
        </is>
      </c>
      <c r="R81" s="23" t="inlineStr">
        <is>
          <t>NO SOURCE</t>
        </is>
      </c>
      <c r="S81" s="19" t="inlineStr">
        <is>
          <t>Not run</t>
        </is>
      </c>
      <c r="T81" s="24" t="inlineStr"/>
    </row>
    <row r="82">
      <c r="A82" s="19" t="n">
        <v>78</v>
      </c>
      <c r="B82" s="20" t="inlineStr">
        <is>
          <t>Aspire office @ KL ecocity</t>
        </is>
      </c>
      <c r="C82" s="21" t="inlineStr">
        <is>
          <t>Pass</t>
        </is>
      </c>
      <c r="D82" s="23" t="inlineStr">
        <is>
          <t>NO SOURCE</t>
        </is>
      </c>
      <c r="E82" s="19" t="inlineStr">
        <is>
          <t>—</t>
        </is>
      </c>
      <c r="F82" s="23" t="inlineStr">
        <is>
          <t>NO SOURCE</t>
        </is>
      </c>
      <c r="G82" s="23" t="inlineStr">
        <is>
          <t>NO SOURCE</t>
        </is>
      </c>
      <c r="H82" s="22" t="inlineStr">
        <is>
          <t>PASS</t>
        </is>
      </c>
      <c r="I82" s="22" t="inlineStr">
        <is>
          <t>PASS</t>
        </is>
      </c>
      <c r="J82" s="23" t="inlineStr">
        <is>
          <t>NO SOURCE</t>
        </is>
      </c>
      <c r="K82" s="23" t="inlineStr">
        <is>
          <t>NO SOURCE</t>
        </is>
      </c>
      <c r="L82" s="22" t="inlineStr">
        <is>
          <t>PASS</t>
        </is>
      </c>
      <c r="M82" s="19" t="inlineStr">
        <is>
          <t>—</t>
        </is>
      </c>
      <c r="N82" s="22" t="inlineStr">
        <is>
          <t>PASS</t>
        </is>
      </c>
      <c r="O82" s="22" t="inlineStr">
        <is>
          <t>PASS</t>
        </is>
      </c>
      <c r="P82" s="23" t="inlineStr">
        <is>
          <t>NO SOURCE</t>
        </is>
      </c>
      <c r="Q82" s="23" t="inlineStr">
        <is>
          <t>NO SOURCE</t>
        </is>
      </c>
      <c r="R82" s="19" t="inlineStr">
        <is>
          <t>—</t>
        </is>
      </c>
      <c r="S82" s="28" t="inlineStr">
        <is>
          <t>Fail</t>
        </is>
      </c>
      <c r="T82" s="24" t="inlineStr"/>
    </row>
    <row r="83">
      <c r="A83" s="19" t="n">
        <v>79</v>
      </c>
      <c r="B83" s="20" t="inlineStr">
        <is>
          <t>The MET, Corporate Tower</t>
        </is>
      </c>
      <c r="C83" s="21" t="inlineStr">
        <is>
          <t>Pass</t>
        </is>
      </c>
      <c r="D83" s="23" t="inlineStr">
        <is>
          <t>NO SOURCE</t>
        </is>
      </c>
      <c r="E83" s="19" t="inlineStr">
        <is>
          <t>—</t>
        </is>
      </c>
      <c r="F83" s="23" t="inlineStr">
        <is>
          <t>NO SOURCE</t>
        </is>
      </c>
      <c r="G83" s="23" t="inlineStr">
        <is>
          <t>NO SOURCE</t>
        </is>
      </c>
      <c r="H83" s="22" t="inlineStr">
        <is>
          <t>PASS</t>
        </is>
      </c>
      <c r="I83" s="22" t="inlineStr">
        <is>
          <t>PASS</t>
        </is>
      </c>
      <c r="J83" s="22" t="inlineStr">
        <is>
          <t>PASS</t>
        </is>
      </c>
      <c r="K83" s="19" t="inlineStr">
        <is>
          <t>—</t>
        </is>
      </c>
      <c r="L83" s="22" t="inlineStr">
        <is>
          <t>PASS</t>
        </is>
      </c>
      <c r="M83" s="22" t="inlineStr">
        <is>
          <t>PASS</t>
        </is>
      </c>
      <c r="N83" s="23" t="inlineStr">
        <is>
          <t>NO SOURCE</t>
        </is>
      </c>
      <c r="O83" s="22" t="inlineStr">
        <is>
          <t>PASS</t>
        </is>
      </c>
      <c r="P83" s="23" t="inlineStr">
        <is>
          <t>NO SOURCE</t>
        </is>
      </c>
      <c r="Q83" s="19" t="inlineStr">
        <is>
          <t>—</t>
        </is>
      </c>
      <c r="R83" s="19" t="inlineStr">
        <is>
          <t>—</t>
        </is>
      </c>
      <c r="S83" s="19" t="inlineStr">
        <is>
          <t>Not run</t>
        </is>
      </c>
      <c r="T83" s="24" t="inlineStr"/>
    </row>
    <row r="84">
      <c r="A84" s="19" t="n">
        <v>80</v>
      </c>
      <c r="B84" s="20" t="inlineStr">
        <is>
          <t>Sierra Hijau (Landed)</t>
        </is>
      </c>
      <c r="C84" s="21" t="inlineStr">
        <is>
          <t>Pass</t>
        </is>
      </c>
      <c r="D84" s="19" t="inlineStr">
        <is>
          <t>—</t>
        </is>
      </c>
      <c r="E84" s="19" t="inlineStr">
        <is>
          <t>—</t>
        </is>
      </c>
      <c r="F84" s="23" t="inlineStr">
        <is>
          <t>NO SOURCE</t>
        </is>
      </c>
      <c r="G84" s="23" t="inlineStr">
        <is>
          <t>NO SOURCE</t>
        </is>
      </c>
      <c r="H84" s="22" t="inlineStr">
        <is>
          <t>PASS</t>
        </is>
      </c>
      <c r="I84" s="22" t="inlineStr">
        <is>
          <t>PASS</t>
        </is>
      </c>
      <c r="J84" s="23" t="inlineStr">
        <is>
          <t>NO SOURCE</t>
        </is>
      </c>
      <c r="K84" s="22" t="inlineStr">
        <is>
          <t>PASS</t>
        </is>
      </c>
      <c r="L84" s="22" t="inlineStr">
        <is>
          <t>PASS</t>
        </is>
      </c>
      <c r="M84" s="22" t="inlineStr">
        <is>
          <t>PASS</t>
        </is>
      </c>
      <c r="N84" s="19" t="inlineStr">
        <is>
          <t>—</t>
        </is>
      </c>
      <c r="O84" s="22" t="inlineStr">
        <is>
          <t>PASS</t>
        </is>
      </c>
      <c r="P84" s="23" t="inlineStr">
        <is>
          <t>NO SOURCE</t>
        </is>
      </c>
      <c r="Q84" s="23" t="inlineStr">
        <is>
          <t>NO SOURCE</t>
        </is>
      </c>
      <c r="R84" s="19" t="inlineStr">
        <is>
          <t>—</t>
        </is>
      </c>
      <c r="S84" s="19" t="inlineStr">
        <is>
          <t>Not run</t>
        </is>
      </c>
      <c r="T84" s="24" t="inlineStr"/>
    </row>
    <row r="85">
      <c r="A85" s="19" t="n">
        <v>81</v>
      </c>
      <c r="B85" s="20" t="inlineStr">
        <is>
          <t>Melbourne Square</t>
        </is>
      </c>
      <c r="C85" s="21" t="inlineStr">
        <is>
          <t>Pass</t>
        </is>
      </c>
      <c r="D85" s="19" t="inlineStr">
        <is>
          <t>—</t>
        </is>
      </c>
      <c r="E85" s="23" t="inlineStr">
        <is>
          <t>NO SOURCE</t>
        </is>
      </c>
      <c r="F85" s="19" t="inlineStr">
        <is>
          <t>—</t>
        </is>
      </c>
      <c r="G85" s="19" t="inlineStr">
        <is>
          <t>—</t>
        </is>
      </c>
      <c r="H85" s="22" t="inlineStr">
        <is>
          <t>PASS</t>
        </is>
      </c>
      <c r="I85" s="22" t="inlineStr">
        <is>
          <t>PASS</t>
        </is>
      </c>
      <c r="J85" s="19" t="inlineStr">
        <is>
          <t>—</t>
        </is>
      </c>
      <c r="K85" s="19" t="inlineStr">
        <is>
          <t>—</t>
        </is>
      </c>
      <c r="L85" s="19" t="inlineStr">
        <is>
          <t>—</t>
        </is>
      </c>
      <c r="M85" s="22" t="inlineStr">
        <is>
          <t>PASS</t>
        </is>
      </c>
      <c r="N85" s="23" t="inlineStr">
        <is>
          <t>NO SOURCE</t>
        </is>
      </c>
      <c r="O85" s="22" t="inlineStr">
        <is>
          <t>PASS</t>
        </is>
      </c>
      <c r="P85" s="19" t="inlineStr">
        <is>
          <t>—</t>
        </is>
      </c>
      <c r="Q85" s="19" t="inlineStr">
        <is>
          <t>—</t>
        </is>
      </c>
      <c r="R85" s="19" t="inlineStr">
        <is>
          <t>—</t>
        </is>
      </c>
      <c r="S85" s="19" t="inlineStr">
        <is>
          <t>Not run</t>
        </is>
      </c>
      <c r="T85" s="24" t="inlineStr"/>
    </row>
    <row r="86">
      <c r="A86" s="19" t="n">
        <v>82</v>
      </c>
      <c r="B86" s="20" t="inlineStr">
        <is>
          <t>Lagenda Tunku (Villa Gemilang)</t>
        </is>
      </c>
      <c r="C86" s="21" t="inlineStr">
        <is>
          <t>Pass</t>
        </is>
      </c>
      <c r="D86" s="19" t="inlineStr">
        <is>
          <t>—</t>
        </is>
      </c>
      <c r="E86" s="19" t="inlineStr">
        <is>
          <t>—</t>
        </is>
      </c>
      <c r="F86" s="19" t="inlineStr">
        <is>
          <t>—</t>
        </is>
      </c>
      <c r="G86" s="19" t="inlineStr">
        <is>
          <t>—</t>
        </is>
      </c>
      <c r="H86" s="19" t="inlineStr">
        <is>
          <t>—</t>
        </is>
      </c>
      <c r="I86" s="19" t="inlineStr">
        <is>
          <t>—</t>
        </is>
      </c>
      <c r="J86" s="19" t="inlineStr">
        <is>
          <t>—</t>
        </is>
      </c>
      <c r="K86" s="19" t="inlineStr">
        <is>
          <t>—</t>
        </is>
      </c>
      <c r="L86" s="19" t="inlineStr">
        <is>
          <t>—</t>
        </is>
      </c>
      <c r="M86" s="19" t="inlineStr">
        <is>
          <t>—</t>
        </is>
      </c>
      <c r="N86" s="19" t="inlineStr">
        <is>
          <t>—</t>
        </is>
      </c>
      <c r="O86" s="19" t="inlineStr">
        <is>
          <t>—</t>
        </is>
      </c>
      <c r="P86" s="19" t="inlineStr">
        <is>
          <t>—</t>
        </is>
      </c>
      <c r="Q86" s="19" t="inlineStr">
        <is>
          <t>—</t>
        </is>
      </c>
      <c r="R86" s="19" t="inlineStr">
        <is>
          <t>—</t>
        </is>
      </c>
      <c r="S86" s="19" t="inlineStr">
        <is>
          <t>Not run</t>
        </is>
      </c>
      <c r="T86" s="24" t="inlineStr">
        <is>
          <t>Correctly says it is not in D2 inventory</t>
        </is>
      </c>
    </row>
    <row r="87">
      <c r="A87" s="19" t="n">
        <v>83</v>
      </c>
      <c r="B87" s="20" t="inlineStr">
        <is>
          <t>Ashbourne</t>
        </is>
      </c>
      <c r="C87" s="21" t="inlineStr">
        <is>
          <t>Pass</t>
        </is>
      </c>
      <c r="D87" s="19" t="inlineStr">
        <is>
          <t>—</t>
        </is>
      </c>
      <c r="E87" s="19" t="inlineStr">
        <is>
          <t>—</t>
        </is>
      </c>
      <c r="F87" s="19" t="inlineStr">
        <is>
          <t>—</t>
        </is>
      </c>
      <c r="G87" s="19" t="inlineStr">
        <is>
          <t>—</t>
        </is>
      </c>
      <c r="H87" s="19" t="inlineStr">
        <is>
          <t>—</t>
        </is>
      </c>
      <c r="I87" s="19" t="inlineStr">
        <is>
          <t>—</t>
        </is>
      </c>
      <c r="J87" s="19" t="inlineStr">
        <is>
          <t>—</t>
        </is>
      </c>
      <c r="K87" s="19" t="inlineStr">
        <is>
          <t>—</t>
        </is>
      </c>
      <c r="L87" s="19" t="inlineStr">
        <is>
          <t>—</t>
        </is>
      </c>
      <c r="M87" s="19" t="inlineStr">
        <is>
          <t>—</t>
        </is>
      </c>
      <c r="N87" s="19" t="inlineStr">
        <is>
          <t>—</t>
        </is>
      </c>
      <c r="O87" s="19" t="inlineStr">
        <is>
          <t>—</t>
        </is>
      </c>
      <c r="P87" s="19" t="inlineStr">
        <is>
          <t>—</t>
        </is>
      </c>
      <c r="Q87" s="19" t="inlineStr">
        <is>
          <t>—</t>
        </is>
      </c>
      <c r="R87" s="19" t="inlineStr">
        <is>
          <t>—</t>
        </is>
      </c>
      <c r="S87" s="19" t="inlineStr">
        <is>
          <t>Not run</t>
        </is>
      </c>
      <c r="T87" s="24" t="inlineStr">
        <is>
          <t>Correctly says it is not in D2 inventory</t>
        </is>
      </c>
    </row>
  </sheetData>
  <autoFilter ref="A4:T87"/>
  <mergeCells count="1">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7" customWidth="1" min="1" max="1"/>
    <col width="42" customWidth="1" min="2" max="2"/>
    <col width="13" customWidth="1" min="3" max="3"/>
    <col width="60" customWidth="1" min="4" max="4"/>
    <col width="70" customWidth="1" min="5" max="5"/>
  </cols>
  <sheetData>
    <row r="1">
      <c r="A1" s="18" t="inlineStr">
        <is>
          <t>Case</t>
        </is>
      </c>
      <c r="B1" s="18" t="inlineStr">
        <is>
          <t>Prompt (sent exactly)</t>
        </is>
      </c>
      <c r="C1" s="18" t="inlineStr">
        <is>
          <t>Result</t>
        </is>
      </c>
      <c r="D1" s="18" t="inlineStr">
        <is>
          <t>What the Finder returned</t>
        </is>
      </c>
      <c r="E1" s="18" t="inlineStr">
        <is>
          <t>Verdict notes</t>
        </is>
      </c>
    </row>
    <row r="2" ht="75" customHeight="1">
      <c r="A2" s="32" t="inlineStr">
        <is>
          <t>F9</t>
        </is>
      </c>
      <c r="B2" s="24" t="inlineStr">
        <is>
          <t>Mr Lee, Malaysian, non-bumi, investment for rental yield, KLCC, up to 1.5 million</t>
        </is>
      </c>
      <c r="C2" s="21" t="inlineStr">
        <is>
          <t>Pass</t>
        </is>
      </c>
      <c r="D2" s="24" t="inlineStr">
        <is>
          <t>13 matching projects (was 14): Dawn, SO Sofitel, Eaton, TRX Residences, Quill, Star, Platinum Face Suite 2, The Manor, Aria, Times Square 2 and 3 more</t>
        </is>
      </c>
      <c r="E2" s="24" t="inlineStr">
        <is>
          <t>d'Brightton titiwangsa no longer returned (fixed). Nothing above RM1.5m; no Core Residence or Conlay. Times Square 2 and TRX are stored as 'KLCC/Bukit Bintang', which the tester accepted on 24 Oct</t>
        </is>
      </c>
    </row>
    <row r="3" ht="75" customHeight="1">
      <c r="A3" s="32" t="inlineStr">
        <is>
          <t>F5</t>
        </is>
      </c>
      <c r="B3" s="24" t="inlineStr">
        <is>
          <t>Madam Wong, Malaysian, non-bumi, own stay, North Kiara, up to 800k</t>
        </is>
      </c>
      <c r="C3" s="21" t="inlineStr">
        <is>
          <t>Pass</t>
        </is>
      </c>
      <c r="D3" s="24" t="inlineStr">
        <is>
          <t>2 matching projects: Tangen Residences (RM659,000), Miranda Hill @ north kiara by BRDB (RM730,250)</t>
        </is>
      </c>
      <c r="E3" s="24" t="inlineStr">
        <is>
          <t>Exactly the two the MUST requires. Alstonia Hilltop Homes no longer returned (fixed); Papyrus absent</t>
        </is>
      </c>
    </row>
    <row r="4" ht="75" customHeight="1">
      <c r="A4" s="32" t="inlineStr">
        <is>
          <t>F1</t>
        </is>
      </c>
      <c r="B4" s="24" t="inlineStr">
        <is>
          <t>Encik Ali, Malaysian, non-bumi, own stay, Bukit Jalil, budget up to 800k</t>
        </is>
      </c>
      <c r="C4" s="29" t="inlineStr">
        <is>
          <t>Needs ruling</t>
        </is>
      </c>
      <c r="D4" s="24" t="inlineStr">
        <is>
          <t>2 matching projects: OAKA Residences (RM750,000), Exsim Project (no price)</t>
        </is>
      </c>
      <c r="E4" s="24" t="inlineStr">
        <is>
          <t>MUST met (OAKA listed). D-014 unchanged: RM750,000 is the price-range floor and the cheapest layout is ~RM850k. Derek to rule</t>
        </is>
      </c>
    </row>
    <row r="5" ht="75" customHeight="1">
      <c r="A5" s="32" t="inlineStr">
        <is>
          <t>N2</t>
        </is>
      </c>
      <c r="B5" s="24" t="inlineStr">
        <is>
          <t>Mr Lim, Malaysian, non-bumi, own stay, Bangsar, budget up to 650k</t>
        </is>
      </c>
      <c r="C5" s="21" t="inlineStr">
        <is>
          <t>Pass</t>
        </is>
      </c>
      <c r="D5" s="24" t="inlineStr">
        <is>
          <t>4 matching projects: The Lantern, Parkside (RM588,000), Pinnacle Bangsar, Residensi 38 Bangsar</t>
        </is>
      </c>
      <c r="E5" s="24" t="inlineStr">
        <is>
          <t>Parkside from RM588,000 as the MUST requires; no One Eleven, Rhombus or Enlace. Aspire office no longer returned (fixed, was 5 results)</t>
        </is>
      </c>
    </row>
    <row r="6" ht="75" customHeight="1">
      <c r="A6" s="32" t="inlineStr">
        <is>
          <t>F11</t>
        </is>
      </c>
      <c r="B6" s="24" t="inlineStr">
        <is>
          <t>Lead wants a 3-bedroom in Cheras, around 650k, Malaysian, own stay</t>
        </is>
      </c>
      <c r="C6" s="21" t="inlineStr">
        <is>
          <t>Pass</t>
        </is>
      </c>
      <c r="D6" s="24" t="inlineStr">
        <is>
          <t>"D2 currently has no active projects in Cheras at all, at any price or size." + next steps: ask about alternative areas; identify the lead's priorities</t>
        </is>
      </c>
      <c r="E6" s="24" t="inlineStr">
        <is>
          <t>Content passes: plain statement, no invented Cheras stock, next steps present in the saved answer. UI DEFECT ON GEMINI ONLY: the reply had no 'matches' key, so it failed to decode and only the sentence rendered (no 'No match found' card, no next-step list). Claude includes the key, so production is unaffected</t>
        </is>
      </c>
    </row>
    <row r="7" ht="75" customHeight="1">
      <c r="A7" s="32" t="inlineStr">
        <is>
          <t>F13</t>
        </is>
      </c>
      <c r="B7" s="24" t="inlineStr">
        <is>
          <t>How much is Bangsar Hill Park?</t>
        </is>
      </c>
      <c r="C7" s="29" t="inlineStr">
        <is>
          <t>Needs ruling</t>
        </is>
      </c>
      <c r="D7" s="24" t="inlineStr">
        <is>
          <t>RM900 – RM1,000 psf entry rate, plus a per-layout list-price table for Phase 2 Tower C (RM1.114m – RM1.749m) from a KB price list</t>
        </is>
      </c>
      <c r="E7" s="24" t="inlineStr">
        <is>
          <t>MUST met (psf rate given). The totals come from a KB price list, not computed from psf, but their own psf (RM1,093 – RM1,317) contradicts the RM900 – RM1,000 entry rate. Derek to rule whether these may be quoted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 customWidth="1" min="1" max="1"/>
    <col width="10" customWidth="1" min="2" max="2"/>
    <col width="46" customWidth="1" min="3" max="3"/>
    <col width="70" customWidth="1" min="4" max="4"/>
    <col width="60" customWidth="1" min="5" max="5"/>
  </cols>
  <sheetData>
    <row r="1">
      <c r="A1" s="18" t="inlineStr">
        <is>
          <t>#</t>
        </is>
      </c>
      <c r="B1" s="18" t="inlineStr">
        <is>
          <t>Severity</t>
        </is>
      </c>
      <c r="C1" s="18" t="inlineStr">
        <is>
          <t>Finding</t>
        </is>
      </c>
      <c r="D1" s="18" t="inlineStr">
        <is>
          <t>Evidence</t>
        </is>
      </c>
      <c r="E1" s="18" t="inlineStr">
        <is>
          <t>Recommended fix</t>
        </is>
      </c>
    </row>
    <row r="2" ht="95" customHeight="1">
      <c r="A2" s="19" t="n">
        <v>1</v>
      </c>
      <c r="B2" s="33" t="inlineStr">
        <is>
          <t>High</t>
        </is>
      </c>
      <c r="C2" s="34" t="inlineStr">
        <is>
          <t>The client sheet's Developer column is misplaced in two blocks</t>
        </is>
      </c>
      <c r="D2" s="24" t="inlineStr">
        <is>
          <t>Rows 114-125: each Developer cell holds the developer of the project six rows below (Senja = CCCG-WCT is Core's; 18 Madge = Chin Hin is Dawn's; Aria = City View Ventures is Eaton's; Clouthaus = Armani Hallson KLCC is Armani Hallson's; Conlay = Orion Tower is Orion's; Orion = Oxley is SO Sofitel's...). Rows 91-93 (Majestic, St. Regis, Aster Hill) are offset by one. Each project's own stored write-up names the developer the sheet places in another row (Katana 2's write-up says BSG Group, which the sheet has in Dawn's row; Aster Hill's says UOA, which the sheet has in St. Regis's row). Other columns in those rows match the older records (units, floors). Claim 096 copied the cells into the KB fact sheets, so answers now give two developers</t>
        </is>
      </c>
      <c r="E2" s="24" t="inlineStr">
        <is>
          <t>Ask the client to correct the Developer column for rows 91-93 and 114-125, then re-run the 096 import and fact-sheet ingest for those projects</t>
        </is>
      </c>
    </row>
    <row r="3" ht="95" customHeight="1">
      <c r="A3" s="19" t="n">
        <v>2</v>
      </c>
      <c r="B3" s="33" t="inlineStr">
        <is>
          <t>High</t>
        </is>
      </c>
      <c r="C3" s="34" t="inlineStr">
        <is>
          <t>Project detail lookups pulled in extracts from OTHER projects (fixed in quick-kayinleong-100)</t>
        </is>
      </c>
      <c r="D3" s="24" t="inlineStr">
        <is>
          <t>Measured live on the old code: 49 of the top 96 knowledge-base extracts for 12 projects came from other projects' documents (for example, Katana 2 got 18 Madge WhatsApp extracts and Platinum Face got the Aster Hill brochure). The developer mismatches in this run, however, trace to each project's own stored write-up versus its own client fact sheet (see finding 1), not to these foreign extracts</t>
        </is>
      </c>
      <c r="E3" s="24" t="inlineStr">
        <is>
          <t>Done in quick-kayinleong-100: projectDetail now keeps only the asked-about project's own documents (re-checked live on 8 projects: every cited source is now the project's own). 35 WhatsApp groups with a variant title (e.g. 'Eaton KLCC') need their category set to the inventory name to count again</t>
        </is>
      </c>
    </row>
    <row r="4" ht="95" customHeight="1">
      <c r="A4" s="19" t="n">
        <v>3</v>
      </c>
      <c r="B4" s="29" t="inlineStr">
        <is>
          <t>Medium</t>
        </is>
      </c>
      <c r="C4" s="34" t="inlineStr">
        <is>
          <t>Older WhatsApp/KB records contradict the client sheet, and the Finder has no rule for which wins</t>
        </is>
      </c>
      <c r="D4" s="24" t="inlineStr">
        <is>
          <t>Aetas Taman Desa developer (Avaland vs Berjaya Hartanah), PSQ total units (960 + 106 suites vs 1,158), Orion land title (commercial HDA vs residential), Ritz-Carlton address (Jalan Sultan Ismail vs 105 Jalan Ampang)</t>
        </is>
      </c>
      <c r="E4" s="24" t="inlineStr">
        <is>
          <t>After the sheet is corrected: tell the Finder that the client fact sheet is the newest source and wins, and to say so when an older record disagrees</t>
        </is>
      </c>
    </row>
    <row r="5" ht="95" customHeight="1">
      <c r="A5" s="19" t="n">
        <v>4</v>
      </c>
      <c r="B5" s="29" t="inlineStr">
        <is>
          <t>Medium</t>
        </is>
      </c>
      <c r="C5" s="34" t="inlineStr">
        <is>
          <t>Gemini replies without a 'matches' key failed to decode (fixed in quick-kayinleong-100)</t>
        </is>
      </c>
      <c r="D5" s="24" t="inlineStr">
        <is>
          <t>F11 refusal had reason, explanation and 2 next steps but no 'matches'; FinderOutputSchema requires it, so the card did not render. The server log also shows 'structured output did NOT decode' for detail answers</t>
        </is>
      </c>
      <c r="E5" s="24" t="inlineStr">
        <is>
          <t>Done in quick-kayinleong-100: a missing 'matches' defaults to []. Re-checked live: the Cheras answer now renders the 'No match found' card with its next steps</t>
        </is>
      </c>
    </row>
    <row r="6" ht="95" customHeight="1">
      <c r="A6" s="19" t="n">
        <v>5</v>
      </c>
      <c r="B6" s="35" t="inlineStr">
        <is>
          <t>Info</t>
        </is>
      </c>
      <c r="C6" s="34" t="inlineStr">
        <is>
          <t>The Anthropic API key has no credit</t>
        </is>
      </c>
      <c r="D6" s="24" t="inlineStr">
        <is>
          <t>First local prompt failed: 'Your credit balance is too low to access the Anthropic API'. Very likely the cause of UAT defect D-017 (every query failing)</t>
        </is>
      </c>
      <c r="E6" s="24" t="inlineStr">
        <is>
          <t>Top up the Anthropic account behind the production key</t>
        </is>
      </c>
    </row>
    <row r="7" ht="95" customHeight="1">
      <c r="A7" s="19" t="n">
        <v>6</v>
      </c>
      <c r="B7" s="35" t="inlineStr">
        <is>
          <t>Info</t>
        </is>
      </c>
      <c r="C7" s="34" t="inlineStr">
        <is>
          <t>The token cap allows about 16 detail answers per agent per day</t>
        </is>
      </c>
      <c r="D7" s="24" t="inlineStr">
        <is>
          <t>Each full-detail Finder answer used ~18k tokens; the 300k / 24h cap tripped after 15-17 answers, 5 times in this run</t>
        </is>
      </c>
      <c r="E7" s="24" t="inlineStr">
        <is>
          <t>Review TOKEN_CAP (src/ratelimit/window.ts) against real usage before agents rely on detail answers</t>
        </is>
      </c>
    </row>
    <row r="8" ht="95" customHeight="1">
      <c r="A8" s="19" t="n">
        <v>7</v>
      </c>
      <c r="B8" s="30" t="inlineStr">
        <is>
          <t>Low</t>
        </is>
      </c>
      <c r="C8" s="34" t="inlineStr">
        <is>
          <t>Three areas are worded differently from the client sheet</t>
        </is>
      </c>
      <c r="D8" s="24" t="inlineStr">
        <is>
          <t>ViiA 'KL Eco City' (sheet: Bangsar), Riana Trees 'Pantai Sentral Park' (sheet: Bangsar South), Quill 'Jalan Sultan Ismail, Golden Triangle' (sheet: KLCC)</t>
        </is>
      </c>
      <c r="E8" s="24" t="inlineStr">
        <is>
          <t>The deferred 096 step: append the client sheet's Area to locationText (also improves area search recall)</t>
        </is>
      </c>
    </row>
    <row r="9" ht="95" customHeight="1">
      <c r="A9" s="19" t="n">
        <v>8</v>
      </c>
      <c r="B9" s="35" t="inlineStr">
        <is>
          <t>Info</t>
        </is>
      </c>
      <c r="C9" s="34" t="inlineStr">
        <is>
          <t>Many values have no client-sheet source</t>
        </is>
      </c>
      <c r="D9" s="24" t="inlineStr">
        <is>
          <t>488 cells: the bot quoted furnishing, car parks, top reasons, sizes or prices from older KB records where the client sheet is blank</t>
        </is>
      </c>
      <c r="E9" s="24" t="inlineStr">
        <is>
          <t>Not a defect. Ask the client to fill these columns if they should be authoritative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cols>
    <col width="4" customWidth="1" min="1" max="1"/>
    <col width="32" customWidth="1" min="2" max="2"/>
    <col width="12" customWidth="1" min="3" max="3"/>
    <col width="45" customWidth="1" min="4" max="4"/>
    <col width="60" customWidth="1" min="5" max="5"/>
    <col width="55" customWidth="1" min="6" max="6"/>
  </cols>
  <sheetData>
    <row r="1">
      <c r="A1" s="18" t="inlineStr">
        <is>
          <t>#</t>
        </is>
      </c>
      <c r="B1" s="18" t="inlineStr">
        <is>
          <t>Project</t>
        </is>
      </c>
      <c r="C1" s="18" t="inlineStr">
        <is>
          <t>Final</t>
        </is>
      </c>
      <c r="D1" s="18" t="inlineStr">
        <is>
          <t>Client sheet developer</t>
        </is>
      </c>
      <c r="E1" s="18" t="inlineStr">
        <is>
          <t>Finder's answer</t>
        </is>
      </c>
      <c r="F1" s="18" t="inlineStr">
        <is>
          <t>Sources the answer cited</t>
        </is>
      </c>
    </row>
    <row r="2">
      <c r="A2" s="19" t="n">
        <v>1</v>
      </c>
      <c r="B2" s="20" t="inlineStr">
        <is>
          <t>Damansara City Residency (DC Residensi)</t>
        </is>
      </c>
      <c r="C2" s="21" t="inlineStr">
        <is>
          <t>PASS</t>
        </is>
      </c>
      <c r="D2" s="24" t="inlineStr">
        <is>
          <t>Damansara City Sdn Bhd (a subsidiary of GuocoLand Malaysia)</t>
        </is>
      </c>
      <c r="E2" s="24" t="inlineStr">
        <is>
          <t>- Developer: Damansara City Sdn Bhd (a subsidiary of GuocoLand Malaysia) [KB:CIKranAwbfLVv6G0jnzn]</t>
        </is>
      </c>
      <c r="F2" s="24" t="inlineStr">
        <is>
          <t>Damansara City Residency (DC Residensi) — D2 project facts (client sheet)</t>
        </is>
      </c>
    </row>
    <row r="3">
      <c r="A3" s="19" t="n">
        <v>2</v>
      </c>
      <c r="B3" s="20" t="inlineStr">
        <is>
          <t>PDH: Imperial Residences RA</t>
        </is>
      </c>
      <c r="C3" s="35" t="inlineStr">
        <is>
          <t>NO SOURCE</t>
        </is>
      </c>
      <c r="D3" s="24" t="inlineStr">
        <is>
          <t>—</t>
        </is>
      </c>
      <c r="E3" s="24" t="inlineStr">
        <is>
          <t>- Developer: 1 Pavilion Group (Jendela Mayang Sdn Bhd)</t>
        </is>
      </c>
      <c r="F3" s="24" t="inlineStr">
        <is>
          <t>—</t>
        </is>
      </c>
    </row>
    <row r="4">
      <c r="A4" s="19" t="n">
        <v>3</v>
      </c>
      <c r="B4" s="20" t="inlineStr">
        <is>
          <t>Bangsar Hill Park</t>
        </is>
      </c>
      <c r="C4" s="21" t="inlineStr">
        <is>
          <t>PASS</t>
        </is>
      </c>
      <c r="D4" s="24" t="inlineStr">
        <is>
          <t>Bangsar Hill Park Development Sdn Bhd (a subsidiary of Suezcap, known for projects like Bangsar South KL Gateway)</t>
        </is>
      </c>
      <c r="E4" s="24" t="inlineStr">
        <is>
          <t>* Developer: Bangsar Hill Park Development Sdn Bhd (subsidiary of Suezcap, backed by Suezcap &amp; Sunsuria) [KB:XBHCp1kvUoetYUT3d3Nc], [KB:PBrbN90oa0qVzfMTKm5G]</t>
        </is>
      </c>
      <c r="F4" s="24" t="inlineStr">
        <is>
          <t>WhatsApp — Bangsar Hill Park | WhatsApp — Bangsar Hill Park</t>
        </is>
      </c>
    </row>
    <row r="5">
      <c r="A5" s="19" t="n">
        <v>4</v>
      </c>
      <c r="B5" s="20" t="inlineStr">
        <is>
          <t>ViiA Residences</t>
        </is>
      </c>
      <c r="C5" s="21" t="inlineStr">
        <is>
          <t>PASS</t>
        </is>
      </c>
      <c r="D5" s="24" t="inlineStr">
        <is>
          <t>S P Setia Berhad (Top 10 listed developer in Malaysia)</t>
        </is>
      </c>
      <c r="E5" s="24" t="inlineStr">
        <is>
          <t>* Developer: S P Setia Berhad [KB:FrVgEO3kzJw6UimskQ8o]</t>
        </is>
      </c>
      <c r="F5" s="24" t="inlineStr">
        <is>
          <t>WhatsApp — ViiA Residences</t>
        </is>
      </c>
    </row>
    <row r="6">
      <c r="A6" s="19" t="n">
        <v>5</v>
      </c>
      <c r="B6" s="20" t="inlineStr">
        <is>
          <t>Enlace Suites @ Pantai Sentral Park</t>
        </is>
      </c>
      <c r="C6" s="21" t="inlineStr">
        <is>
          <t>PASS</t>
        </is>
      </c>
      <c r="D6" s="24" t="inlineStr">
        <is>
          <t>Amona Development Sdn Bhd (Joint development with IJM Land – Pantai Sentral Park)</t>
        </is>
      </c>
      <c r="E6" s="24" t="inlineStr">
        <is>
          <t>- Developer: Amona Development Sdn Bhd (Joint development with IJM Land – Pantai Sentral Park) [KB:fkIknvBI1Rqt5PlJyBrh]</t>
        </is>
      </c>
      <c r="F6" s="24" t="inlineStr">
        <is>
          <t>Enlace Suites @ Pantai Sentral Park — D2 project facts (client sheet)</t>
        </is>
      </c>
    </row>
    <row r="7">
      <c r="A7" s="19" t="n">
        <v>6</v>
      </c>
      <c r="B7" s="20" t="inlineStr">
        <is>
          <t>The Lantern Bangsar</t>
        </is>
      </c>
      <c r="C7" s="21" t="inlineStr">
        <is>
          <t>PASS</t>
        </is>
      </c>
      <c r="D7" s="24" t="inlineStr">
        <is>
          <t>CDC (10 years in Malaysia; built Capri Hotel Bukit Bintang)</t>
        </is>
      </c>
      <c r="E7" s="24" t="inlineStr">
        <is>
          <t>- Developer: CDC (10 years in Malaysia; Taiwan public listed company) [KB:z3EkItmn7uYiXy0Q7AuT], [KB:Mu38hPj7Bu8z3HzkWfQL]</t>
        </is>
      </c>
      <c r="F7" s="24" t="inlineStr">
        <is>
          <t>The Lantern Bangsar — D2 project facts (client sheet) | WhatsApp — The Lantern Bangsar</t>
        </is>
      </c>
    </row>
    <row r="8">
      <c r="A8" s="19" t="n">
        <v>7</v>
      </c>
      <c r="B8" s="20" t="inlineStr">
        <is>
          <t>One Eleven Menerung @ Bangsar</t>
        </is>
      </c>
      <c r="C8" s="21" t="inlineStr">
        <is>
          <t>PASS</t>
        </is>
      </c>
      <c r="D8" s="24" t="inlineStr">
        <is>
          <t>BRDB</t>
        </is>
      </c>
      <c r="E8" s="24" t="inlineStr">
        <is>
          <t>- Developer: BRDB</t>
        </is>
      </c>
      <c r="F8" s="24" t="inlineStr">
        <is>
          <t>—</t>
        </is>
      </c>
    </row>
    <row r="9">
      <c r="A9" s="19" t="n">
        <v>8</v>
      </c>
      <c r="B9" s="20" t="inlineStr">
        <is>
          <t>Pavilion Damansara Heights</t>
        </is>
      </c>
      <c r="C9" s="21" t="inlineStr">
        <is>
          <t>PASS</t>
        </is>
      </c>
      <c r="D9" s="24" t="inlineStr">
        <is>
          <t>Pavilion Damansara (Impian Ekspresi Sdn Bhd)</t>
        </is>
      </c>
      <c r="E9" s="24" t="inlineStr">
        <is>
          <t>* Developer: Impian Ekspresi Sdn Bhd (1 Pavilion Group) [KB:B5QzV2j9rYbEMsLHb84f]</t>
        </is>
      </c>
      <c r="F9" s="24" t="inlineStr">
        <is>
          <t>Pavilion Damansara Heights — R2 Chinese Broucher.pdf</t>
        </is>
      </c>
    </row>
    <row r="10">
      <c r="A10" s="19" t="n">
        <v>9</v>
      </c>
      <c r="B10" s="20" t="inlineStr">
        <is>
          <t>PDH: Royal Suites(RC)</t>
        </is>
      </c>
      <c r="C10" s="21" t="inlineStr">
        <is>
          <t>PASS</t>
        </is>
      </c>
      <c r="D10" s="24" t="inlineStr">
        <is>
          <t>Jendela Mayang Sdn Bhd (Pavilion Group)</t>
        </is>
      </c>
      <c r="E10" s="24" t="inlineStr">
        <is>
          <t>- Developer: Jendela Mayang Sdn Bhd (Pavilion Group) [KB:pGJBu3xWUrLOi2NhL8ci]</t>
        </is>
      </c>
      <c r="F10" s="24" t="inlineStr">
        <is>
          <t>Pavilion Damansara Heights: Royal Suites(RC) — D2 project facts (client sheet)</t>
        </is>
      </c>
    </row>
    <row r="11">
      <c r="A11" s="19" t="n">
        <v>10</v>
      </c>
      <c r="B11" s="20" t="inlineStr">
        <is>
          <t>Pinnacle Bangsar Residence</t>
        </is>
      </c>
      <c r="C11" s="21" t="inlineStr">
        <is>
          <t>PASS</t>
        </is>
      </c>
      <c r="D11" s="24" t="inlineStr">
        <is>
          <t>Pinnacle Homes Group of Companies</t>
        </is>
      </c>
      <c r="E11" s="24" t="inlineStr">
        <is>
          <t>* Developer: Pinnacle Homes Group of Companies [KB:0wEHxV8AFCXJp3WLEtv3]</t>
        </is>
      </c>
      <c r="F11" s="24" t="inlineStr">
        <is>
          <t>Pinnacle Bangsar Residence — D2 project facts (client sheet)</t>
        </is>
      </c>
    </row>
    <row r="12">
      <c r="A12" s="19" t="n">
        <v>11</v>
      </c>
      <c r="B12" s="20" t="inlineStr">
        <is>
          <t>Parkside Residences</t>
        </is>
      </c>
      <c r="C12" s="21" t="inlineStr">
        <is>
          <t>PASS</t>
        </is>
      </c>
      <c r="D12" s="24" t="inlineStr">
        <is>
          <t>Setia M S SFH Development Sdn Bhd / JV of SP Setia (Top 10 listed developer Malaysia) + Mitsui Fudosan (Japan's largest developer)</t>
        </is>
      </c>
      <c r="E12" s="24" t="inlineStr">
        <is>
          <t>- Developer: Setia M S SFH Development Sdn Bhd (JV of SP Setia &amp; Mitsui Fudosan) [KB:U0LC1UsFCO2FhmxsHtTr]</t>
        </is>
      </c>
      <c r="F12" s="24" t="inlineStr">
        <is>
          <t>WhatsApp — Parkside Residences</t>
        </is>
      </c>
    </row>
    <row r="13">
      <c r="A13" s="19" t="n">
        <v>12</v>
      </c>
      <c r="B13" s="20" t="inlineStr">
        <is>
          <t>Rhombus</t>
        </is>
      </c>
      <c r="C13" s="21" t="inlineStr">
        <is>
          <t>PASS</t>
        </is>
      </c>
      <c r="D13" s="24" t="inlineStr">
        <is>
          <t>Benéton Properties Sdn Bhd</t>
        </is>
      </c>
      <c r="E13" s="24" t="inlineStr">
        <is>
          <t>* Developer: Benéton Properties Sdn Bhd [KB:EJlKTBJNaJMI2zy6KIb0]</t>
        </is>
      </c>
      <c r="F13" s="24" t="inlineStr">
        <is>
          <t>WhatsApp — Rhombus</t>
        </is>
      </c>
    </row>
    <row r="14">
      <c r="A14" s="19" t="n">
        <v>13</v>
      </c>
      <c r="B14" s="20" t="inlineStr">
        <is>
          <t>Riana Trees Residences</t>
        </is>
      </c>
      <c r="C14" s="21" t="inlineStr">
        <is>
          <t>PASS</t>
        </is>
      </c>
      <c r="D14" s="24" t="inlineStr">
        <is>
          <t>Amona Development Sdn Bhd (Joint development with IJM Land – Pantai Sentral Park)</t>
        </is>
      </c>
      <c r="E14" s="24" t="inlineStr">
        <is>
          <t>- Developer: Amona Development Sdn Bhd (Joint development with IJM Land – Pantai Sentral Park)</t>
        </is>
      </c>
      <c r="F14" s="24" t="inlineStr">
        <is>
          <t>—</t>
        </is>
      </c>
    </row>
    <row r="15">
      <c r="A15" s="19" t="n">
        <v>14</v>
      </c>
      <c r="B15" s="20" t="inlineStr">
        <is>
          <t>Residensi 38 Bangsar</t>
        </is>
      </c>
      <c r="C15" s="21" t="inlineStr">
        <is>
          <t>PASS</t>
        </is>
      </c>
      <c r="D15" s="24" t="inlineStr">
        <is>
          <t>ONE JSI Development Sdn Bhd</t>
        </is>
      </c>
      <c r="E15" s="24" t="inlineStr">
        <is>
          <t>- Developer: ONE JSI Development Sdn Bhd</t>
        </is>
      </c>
      <c r="F15" s="24" t="inlineStr">
        <is>
          <t>—</t>
        </is>
      </c>
    </row>
    <row r="16">
      <c r="A16" s="19" t="n">
        <v>15</v>
      </c>
      <c r="B16" s="20" t="inlineStr">
        <is>
          <t>Lunar Seputeh</t>
        </is>
      </c>
      <c r="C16" s="21" t="inlineStr">
        <is>
          <t>PASS</t>
        </is>
      </c>
      <c r="D16" s="24" t="inlineStr">
        <is>
          <t>MRCB Seputeh Land Sdn Bhd (subsidiary of MRCB)</t>
        </is>
      </c>
      <c r="E16" s="24" t="inlineStr">
        <is>
          <t>- Developer: MRCB Seputeh Land Sdn Bhd (subsidiary of MRCB) [KB:NEsZFznN5W1yR6ORoGa1]</t>
        </is>
      </c>
      <c r="F16" s="24" t="inlineStr">
        <is>
          <t>Lunar Seputeh — D2 project facts (client sheet)</t>
        </is>
      </c>
    </row>
    <row r="17">
      <c r="A17" s="19" t="n">
        <v>16</v>
      </c>
      <c r="B17" s="20" t="inlineStr">
        <is>
          <t>Sentral Suites @ KL Sentral</t>
        </is>
      </c>
      <c r="C17" s="21" t="inlineStr">
        <is>
          <t>PASS</t>
        </is>
      </c>
      <c r="D17" s="24" t="inlineStr">
        <is>
          <t>MRCB (Master Developer of KL Sentral)</t>
        </is>
      </c>
      <c r="E17" s="24" t="inlineStr">
        <is>
          <t>- Developer: MRCB (Master Developer of KL Sentral) [KB:7A0IhjLXTFwJ7yPx3aKg]</t>
        </is>
      </c>
      <c r="F17" s="24" t="inlineStr">
        <is>
          <t>Sentral Suites @ KL Sentral — D2 project facts (client sheet)</t>
        </is>
      </c>
    </row>
    <row r="18">
      <c r="A18" s="19" t="n">
        <v>17</v>
      </c>
      <c r="B18" s="20" t="inlineStr">
        <is>
          <t>The Cedar Damansara Heights</t>
        </is>
      </c>
      <c r="C18" s="35" t="inlineStr">
        <is>
          <t>NO SOURCE</t>
        </is>
      </c>
      <c r="D18" s="24" t="inlineStr">
        <is>
          <t>—</t>
        </is>
      </c>
      <c r="E18" s="24" t="inlineStr">
        <is>
          <t>* Developer: Satin Magic Sdn Bhd (Datuk Jagan Sabapathy, previously from BRDB) / Managed by Tribeca Real Estate Management Sdn Bhd [KB:LNelxiKkRtb7DEtWq7Tq]</t>
        </is>
      </c>
      <c r="F18" s="24" t="inlineStr">
        <is>
          <t>WhatsApp — (Sold out) CedarAiraPeak</t>
        </is>
      </c>
    </row>
    <row r="19">
      <c r="A19" s="19" t="n">
        <v>18</v>
      </c>
      <c r="B19" s="20" t="inlineStr">
        <is>
          <t>Tria Seputeh</t>
        </is>
      </c>
      <c r="C19" s="21" t="inlineStr">
        <is>
          <t>PASS</t>
        </is>
      </c>
      <c r="D19" s="24" t="inlineStr">
        <is>
          <t>MRCB (Master Developer of KL Sentral — 72 acres; completed 19 corporate towers, 4 hotels, 4 residences, 1 mall)</t>
        </is>
      </c>
      <c r="E19" s="24" t="inlineStr">
        <is>
          <t>- Developer: MRCB (MRCB Seputeh Land Sdn Bhd) [KB:mbS09fhOtat1MX2UHfQR] [KB:n7kwnHcmftO5XOYKJ4uu]</t>
        </is>
      </c>
      <c r="F19" s="24" t="inlineStr">
        <is>
          <t>Tria Seputeh — D2 project facts (client sheet) | Tria Seputeh — Pelto&amp;Cavi_E-Leaflet_2023.pdf</t>
        </is>
      </c>
    </row>
    <row r="20">
      <c r="A20" s="19" t="n">
        <v>19</v>
      </c>
      <c r="B20" s="20" t="inlineStr">
        <is>
          <t>d'Brightton titiwangsa</t>
        </is>
      </c>
      <c r="C20" s="21" t="inlineStr">
        <is>
          <t>PASS</t>
        </is>
      </c>
      <c r="D20" s="24" t="inlineStr">
        <is>
          <t>GSD Land</t>
        </is>
      </c>
      <c r="E20" s="24" t="inlineStr">
        <is>
          <t>* Developer: GSD Land [KB:M4wpeUP95oJGUkqqeMBk]</t>
        </is>
      </c>
      <c r="F20" s="24" t="inlineStr">
        <is>
          <t>WhatsApp — d'Brightton titiwangsa</t>
        </is>
      </c>
    </row>
    <row r="21">
      <c r="A21" s="19" t="n">
        <v>20</v>
      </c>
      <c r="B21" s="20" t="inlineStr">
        <is>
          <t>IJM Sierra Hijauan</t>
        </is>
      </c>
      <c r="C21" s="21" t="inlineStr">
        <is>
          <t>PASS</t>
        </is>
      </c>
      <c r="D21" s="24" t="inlineStr">
        <is>
          <t>Sierra Ukay Sdn Bhd (subsidiary of IJM Berhad)</t>
        </is>
      </c>
      <c r="E21" s="24" t="inlineStr">
        <is>
          <t>- Developer: Sierra Ukay Sdn Bhd (subsidiary of IJM Berhad) [KB:xDAu3otjbk2PIreFSX0s]</t>
        </is>
      </c>
      <c r="F21" s="24" t="inlineStr">
        <is>
          <t>IJM Sierra Hijauan — D2 project facts (client sheet)</t>
        </is>
      </c>
    </row>
    <row r="22">
      <c r="A22" s="19" t="n">
        <v>21</v>
      </c>
      <c r="B22" s="20" t="inlineStr">
        <is>
          <t>Puncak Wangsamas Phase 2</t>
        </is>
      </c>
      <c r="C22" s="21" t="inlineStr">
        <is>
          <t>PASS</t>
        </is>
      </c>
      <c r="D22" s="24" t="inlineStr">
        <is>
          <t>Low Keng Huat Berhad</t>
        </is>
      </c>
      <c r="E22" s="24" t="inlineStr">
        <is>
          <t>- Developer: Low Keng Huat Berhad [KB:sTkiMAcg1U7rk3g0uAOm] [KB:Xw4FOvvyaOxKoQzCIuHW]</t>
        </is>
      </c>
      <c r="F22" s="24" t="inlineStr">
        <is>
          <t>Puncak Wangsamas Phase 2 — D2 project facts (client sheet) | WhatsApp — Puncak Wangsamas Phase 2</t>
        </is>
      </c>
    </row>
    <row r="23">
      <c r="A23" s="19" t="n">
        <v>22</v>
      </c>
      <c r="B23" s="20" t="inlineStr">
        <is>
          <t>The Reya</t>
        </is>
      </c>
      <c r="C23" s="21" t="inlineStr">
        <is>
          <t>PASS</t>
        </is>
      </c>
      <c r="D23" s="24" t="inlineStr">
        <is>
          <t>Sime Darby Property</t>
        </is>
      </c>
      <c r="E23" s="24" t="inlineStr">
        <is>
          <t>* Developer: Sime Darby Property [KB:jcWQh7l2xsQuw3KupwBf]</t>
        </is>
      </c>
      <c r="F23" s="24" t="inlineStr">
        <is>
          <t>The Reya — D2 project facts (client sheet)</t>
        </is>
      </c>
    </row>
    <row r="24">
      <c r="A24" s="19" t="n">
        <v>23</v>
      </c>
      <c r="B24" s="20" t="inlineStr">
        <is>
          <t>Padang Residences</t>
        </is>
      </c>
      <c r="C24" s="21" t="inlineStr">
        <is>
          <t>PASS</t>
        </is>
      </c>
      <c r="D24" s="24" t="inlineStr">
        <is>
          <t>MRCB &amp; TH Properties</t>
        </is>
      </c>
      <c r="E24" s="24" t="inlineStr">
        <is>
          <t>* Developer: MRCB &amp; TH Properties [KB:UkphwtjVxtx8lvNFgzJd]</t>
        </is>
      </c>
      <c r="F24" s="24" t="inlineStr">
        <is>
          <t>Padang Residences — D2 project facts (client sheet)</t>
        </is>
      </c>
    </row>
    <row r="25">
      <c r="A25" s="19" t="n">
        <v>24</v>
      </c>
      <c r="B25" s="20" t="inlineStr">
        <is>
          <t>Tangen Residences</t>
        </is>
      </c>
      <c r="C25" s="21" t="inlineStr">
        <is>
          <t>PASS</t>
        </is>
      </c>
      <c r="D25" s="24" t="inlineStr">
        <is>
          <t>Angkasa Armada Sdn Bhd (subsidiary of Eng Han Group)</t>
        </is>
      </c>
      <c r="E25" s="24" t="inlineStr">
        <is>
          <t>- Developer: Angkasa Armada Sdn Bhd (subsidiary of Eng Han Group) [KB:3YsZNngOucdNpTOTKnxE]</t>
        </is>
      </c>
      <c r="F25" s="24" t="inlineStr">
        <is>
          <t>WhatsApp — Tangen Residences</t>
        </is>
      </c>
    </row>
    <row r="26">
      <c r="A26" s="19" t="n">
        <v>25</v>
      </c>
      <c r="B26" s="20" t="inlineStr">
        <is>
          <t>Miranda Hill @ north kiara by BRDB</t>
        </is>
      </c>
      <c r="C26" s="21" t="inlineStr">
        <is>
          <t>PASS</t>
        </is>
      </c>
      <c r="D26" s="24" t="inlineStr">
        <is>
          <t>Freedom Estates Sdn Bhd (part of BRDB Group — developer of BSC Mall &amp; One Menerung)</t>
        </is>
      </c>
      <c r="E26" s="24" t="inlineStr">
        <is>
          <t>* Developer: Freedom Estates Sdn Bhd (part of BRDB Group) [KB:cdV2XwcdMEqhhhxthQRZ] [KB:msaaQ1RuJJn2CSPEwDzB]</t>
        </is>
      </c>
      <c r="F26" s="24" t="inlineStr">
        <is>
          <t>Miranda Hill @ north kiara by BRDB — D2 project facts (client sheet) | Miranda Hill @ north kiara by BRDB — 2025 Miranda Hill Sales Kit.pdf</t>
        </is>
      </c>
    </row>
    <row r="27">
      <c r="A27" s="19" t="n">
        <v>26</v>
      </c>
      <c r="B27" s="20" t="inlineStr">
        <is>
          <t>Alstonia Hilltop Homes</t>
        </is>
      </c>
      <c r="C27" s="21" t="inlineStr">
        <is>
          <t>PASS</t>
        </is>
      </c>
      <c r="D27" s="24" t="inlineStr">
        <is>
          <t>MRCB (Master Developer of KL Sentral; completed 19 corporate towers, 4 hotels, 4 residences &amp; 1 shopping mall)</t>
        </is>
      </c>
      <c r="E27" s="24" t="inlineStr">
        <is>
          <t>* Developer: Pinnacle Paradise Sdn Bhd (a subsidiary of MRCB Land) [KB:rQ8JQ7OQlQS5yULaUlj1] / MRCB [KB:DkEf8TbYIS4s9ZC6CSDO]</t>
        </is>
      </c>
      <c r="F27" s="24" t="inlineStr">
        <is>
          <t>Alstonia Hilltop Homes — KL-ALSTONIA HILLTOP HOMES Sales Kit (decompressed)final-1.pdf | Alstonia Hilltop Homes — D2 project facts (client sheet)</t>
        </is>
      </c>
    </row>
    <row r="28">
      <c r="A28" s="19" t="n">
        <v>27</v>
      </c>
      <c r="B28" s="20" t="inlineStr">
        <is>
          <t>Binastra Cochrane</t>
        </is>
      </c>
      <c r="C28" s="32" t="inlineStr">
        <is>
          <t>—</t>
        </is>
      </c>
      <c r="D28" s="24" t="inlineStr">
        <is>
          <t>—</t>
        </is>
      </c>
      <c r="E28" s="24" t="inlineStr">
        <is>
          <t>—</t>
        </is>
      </c>
      <c r="F28" s="24" t="inlineStr">
        <is>
          <t>—</t>
        </is>
      </c>
    </row>
    <row r="29">
      <c r="A29" s="19" t="n">
        <v>28</v>
      </c>
      <c r="B29" s="20" t="inlineStr">
        <is>
          <t>Eden BRDB, Taman Duta</t>
        </is>
      </c>
      <c r="C29" s="21" t="inlineStr">
        <is>
          <t>PASS</t>
        </is>
      </c>
      <c r="D29" s="24" t="inlineStr">
        <is>
          <t>BRDB</t>
        </is>
      </c>
      <c r="E29" s="24" t="inlineStr">
        <is>
          <t>* Developer: BRDB [KB:9tab2Vy32EQUQzxB3GGt]</t>
        </is>
      </c>
      <c r="F29" s="24" t="inlineStr">
        <is>
          <t>Eden BRDB, Taman Duta — D2 project facts (client sheet)</t>
        </is>
      </c>
    </row>
    <row r="30">
      <c r="A30" s="19" t="n">
        <v>29</v>
      </c>
      <c r="B30" s="20" t="inlineStr">
        <is>
          <t>Majestic @ Kiara Reserve</t>
        </is>
      </c>
      <c r="C30" s="29" t="inlineStr">
        <is>
          <t>CONFLICT</t>
        </is>
      </c>
      <c r="D30" s="24" t="inlineStr">
        <is>
          <t>Excellent Bonanza Sdn Bhd (under GSH Corporation, SGX-listed)</t>
        </is>
      </c>
      <c r="E30" s="24" t="inlineStr">
        <is>
          <t>- Developer: Excellent Bonanza Sdn Bhd (under GSH Corporation, SGX-listed) [KB:ulZttJH8RBdnrnkSfeCc]</t>
        </is>
      </c>
      <c r="F30" s="24" t="inlineStr">
        <is>
          <t>Majestic @ Kiara Reserve — D2 project facts (client sheet)</t>
        </is>
      </c>
    </row>
    <row r="31">
      <c r="A31" s="19" t="n">
        <v>30</v>
      </c>
      <c r="B31" s="20" t="inlineStr">
        <is>
          <t>St. Regis Residences Kuala Lumpur</t>
        </is>
      </c>
      <c r="C31" s="29" t="inlineStr">
        <is>
          <t>CONFLICT</t>
        </is>
      </c>
      <c r="D31" s="24" t="inlineStr">
        <is>
          <t>UOA Development Bhd (Master Developer of Bangsar South)</t>
        </is>
      </c>
      <c r="E31" s="24" t="inlineStr">
        <is>
          <t>- Developer: Excellent Bonanza Sdn Bhd (under GSH Corporation) [KB:uuV6C249TylzjKr25it3]</t>
        </is>
      </c>
      <c r="F31" s="24" t="inlineStr">
        <is>
          <t>St. Regis Residences Kuala Lumpur — D2 project facts (client sheet)</t>
        </is>
      </c>
    </row>
    <row r="32">
      <c r="A32" s="19" t="n">
        <v>31</v>
      </c>
      <c r="B32" s="20" t="inlineStr">
        <is>
          <t>Aster Hill Sri Petaling</t>
        </is>
      </c>
      <c r="C32" s="29" t="inlineStr">
        <is>
          <t>CONFLICT</t>
        </is>
      </c>
      <c r="D32" s="24" t="inlineStr">
        <is>
          <t>SCP</t>
        </is>
      </c>
      <c r="E32" s="24" t="inlineStr">
        <is>
          <t>- Developer: UOA Development Bhd (Master Developer of Bangsar South) [KB:3ftGruUWUzeOeON8fh6p]</t>
        </is>
      </c>
      <c r="F32" s="24" t="inlineStr">
        <is>
          <t>WhatsApp — Aster Hill Sri Petaling</t>
        </is>
      </c>
    </row>
    <row r="33">
      <c r="A33" s="19" t="n">
        <v>32</v>
      </c>
      <c r="B33" s="20" t="inlineStr">
        <is>
          <t>Exsim Project</t>
        </is>
      </c>
      <c r="C33" s="35" t="inlineStr">
        <is>
          <t>NO SOURCE</t>
        </is>
      </c>
      <c r="D33" s="24" t="inlineStr">
        <is>
          <t>—</t>
        </is>
      </c>
      <c r="E33" s="24" t="inlineStr">
        <is>
          <t>* Developer: EXSIM Group [KB:tI4eXJccKUxO6eQQKzRG]</t>
        </is>
      </c>
      <c r="F33" s="24" t="inlineStr">
        <is>
          <t>Exsim Project — The Arcuz Sales Kit (Agent).pdf</t>
        </is>
      </c>
    </row>
    <row r="34">
      <c r="A34" s="19" t="n">
        <v>33</v>
      </c>
      <c r="B34" s="20" t="inlineStr">
        <is>
          <t>Kensho @ Taman Desa</t>
        </is>
      </c>
      <c r="C34" s="21" t="inlineStr">
        <is>
          <t>PASS</t>
        </is>
      </c>
      <c r="D34" s="24" t="inlineStr">
        <is>
          <t>Regal Path Sdn Bhd (a subsidiary of Malton Berhad)</t>
        </is>
      </c>
      <c r="E34" s="24" t="inlineStr">
        <is>
          <t>- Developer: Regal Path Sdn Bhd (a subsidiary of Malton Berhad) / SCP [KB:kSTSW13s2tkD7aTAaCaU]</t>
        </is>
      </c>
      <c r="F34" s="24" t="inlineStr">
        <is>
          <t>Kensho @ Taman Desa — D2 project facts (client sheet)</t>
        </is>
      </c>
    </row>
    <row r="35">
      <c r="A35" s="19" t="n">
        <v>34</v>
      </c>
      <c r="B35" s="20" t="inlineStr">
        <is>
          <t>Aetas Taman Desa</t>
        </is>
      </c>
      <c r="C35" s="29" t="inlineStr">
        <is>
          <t>CONFLICT</t>
        </is>
      </c>
      <c r="D35" s="24" t="inlineStr">
        <is>
          <t>Berjaya Hartanah Berhad</t>
        </is>
      </c>
      <c r="E35" s="24" t="inlineStr">
        <is>
          <t>* Developer: Avaland (referred to in project appointment documents; formal entity detail not on record)</t>
        </is>
      </c>
      <c r="F35" s="24" t="inlineStr">
        <is>
          <t>—</t>
        </is>
      </c>
    </row>
    <row r="36">
      <c r="A36" s="19" t="n">
        <v>35</v>
      </c>
      <c r="B36" s="20" t="inlineStr">
        <is>
          <t>Southpoint Residences (IGB )</t>
        </is>
      </c>
      <c r="C36" s="21" t="inlineStr">
        <is>
          <t>PASS</t>
        </is>
      </c>
      <c r="D36" s="24" t="inlineStr">
        <is>
          <t>MVCSP Sdn Bhd (a subsidiary of IGB Group)</t>
        </is>
      </c>
      <c r="E36" s="24" t="inlineStr">
        <is>
          <t>- Developer: MVCSP Sdn Bhd (a subsidiary of IGB Group) [KB:y18Gd4UFTe1XPdrCupEZ]</t>
        </is>
      </c>
      <c r="F36" s="24" t="inlineStr">
        <is>
          <t>Southpoint Residences (IGB ) — D2 project facts (client sheet)</t>
        </is>
      </c>
    </row>
    <row r="37">
      <c r="A37" s="19" t="n">
        <v>36</v>
      </c>
      <c r="B37" s="20" t="inlineStr">
        <is>
          <t>Park Green at Pavilion Bukit Jalil</t>
        </is>
      </c>
      <c r="C37" s="21" t="inlineStr">
        <is>
          <t>PASS</t>
        </is>
      </c>
      <c r="D37" s="24" t="inlineStr">
        <is>
          <t>Regal Path Sdn Bhd (a subsidiary of Malton Berhad)</t>
        </is>
      </c>
      <c r="E37" s="24" t="inlineStr">
        <is>
          <t>* Developer: Regal Path Sdn Bhd (a subsidiary of Malton Berhad) [KB:31Yf7ZiVhnSC7pwYZEMQ]</t>
        </is>
      </c>
      <c r="F37" s="24" t="inlineStr">
        <is>
          <t>Park Green at Pavilion Bukit Jalil — D2 project facts (client sheet)</t>
        </is>
      </c>
    </row>
    <row r="38">
      <c r="A38" s="19" t="n">
        <v>37</v>
      </c>
      <c r="B38" s="20" t="inlineStr">
        <is>
          <t>OAKA Residences, Bukit Jalil</t>
        </is>
      </c>
      <c r="C38" s="21" t="inlineStr">
        <is>
          <t>PASS</t>
        </is>
      </c>
      <c r="D38" s="24" t="inlineStr">
        <is>
          <t>Berjaya Hartanah Berhad</t>
        </is>
      </c>
      <c r="E38" s="24" t="inlineStr">
        <is>
          <t>- Developer: Berjaya Hartanah Berhad [KB:1CC5O0bZQntqFom3zMzB]</t>
        </is>
      </c>
      <c r="F38" s="24" t="inlineStr">
        <is>
          <t>OAKA Residences, Bukit Jalil — D2 project facts (client sheet)</t>
        </is>
      </c>
    </row>
    <row r="39">
      <c r="A39" s="19" t="n">
        <v>38</v>
      </c>
      <c r="B39" s="20" t="inlineStr">
        <is>
          <t>Senja The Jewel Collection</t>
        </is>
      </c>
      <c r="C39" s="29" t="inlineStr">
        <is>
          <t>CONFLICT</t>
        </is>
      </c>
      <c r="D39" s="24" t="inlineStr">
        <is>
          <t>CCCG joint-venture with WCT</t>
        </is>
      </c>
      <c r="E39" s="24" t="inlineStr">
        <is>
          <t>- Developer: BRDB (Designed by GDP Architect) [KB:KvQcdjB14HtRIuR0N8WP], [KB:0vRAFiw6drro0qftmg97]</t>
        </is>
      </c>
      <c r="F39" s="24" t="inlineStr">
        <is>
          <t>WhatsApp — Senja The Jewel Collection | WhatsApp — Senja The Jewel Collection</t>
        </is>
      </c>
    </row>
    <row r="40">
      <c r="A40" s="19" t="n">
        <v>39</v>
      </c>
      <c r="B40" s="20" t="inlineStr">
        <is>
          <t>18 Madge Uthant</t>
        </is>
      </c>
      <c r="C40" s="29" t="inlineStr">
        <is>
          <t>CONFLICT</t>
        </is>
      </c>
      <c r="D40" s="24" t="inlineStr">
        <is>
          <t>Chin Hin (Top 10 Developer, public listed — one-stop solution from building materials to furnishing)</t>
        </is>
      </c>
      <c r="E40" s="24" t="inlineStr">
        <is>
          <t>- Developer: Goodpark Development Sdn Bhd (subsidiary of KSL Holdings Bhd) [KB:SDu5ub4q7C4oTEhfHcHB]</t>
        </is>
      </c>
      <c r="F40" s="24" t="inlineStr">
        <is>
          <t>WhatsApp — 18 Madge Uthant</t>
        </is>
      </c>
    </row>
    <row r="41">
      <c r="A41" s="19" t="n">
        <v>40</v>
      </c>
      <c r="B41" s="20" t="inlineStr">
        <is>
          <t>Aria Luxury Residence @ KLCC</t>
        </is>
      </c>
      <c r="C41" s="30" t="inlineStr">
        <is>
          <t>NOT STATED</t>
        </is>
      </c>
      <c r="D41" s="24" t="inlineStr">
        <is>
          <t>City View Ventures Sdn Bhd / (A subsidiary of GSH Corporation Ltd – listed on the Singapore Exchange)</t>
        </is>
      </c>
      <c r="E41" s="24" t="inlineStr">
        <is>
          <t>- Developer: Not on record</t>
        </is>
      </c>
      <c r="F41" s="24" t="inlineStr">
        <is>
          <t>—</t>
        </is>
      </c>
    </row>
    <row r="42">
      <c r="A42" s="19" t="n">
        <v>41</v>
      </c>
      <c r="B42" s="20" t="inlineStr">
        <is>
          <t>AT6 Residensi @ Ampang Tengah</t>
        </is>
      </c>
      <c r="C42" s="29" t="inlineStr">
        <is>
          <t>CONFLICT</t>
        </is>
      </c>
      <c r="D42" s="24" t="inlineStr">
        <is>
          <t>Platinum Victory Suites</t>
        </is>
      </c>
      <c r="E42" s="24" t="inlineStr">
        <is>
          <t>- Developer: Boulevard Realty Sdn. Bhd. [KB:nPWl0XFCWa7H3elxD7RD]</t>
        </is>
      </c>
      <c r="F42" s="24" t="inlineStr">
        <is>
          <t>WhatsApp — AT6 ampang tengah 6</t>
        </is>
      </c>
    </row>
    <row r="43">
      <c r="A43" s="19" t="n">
        <v>42</v>
      </c>
      <c r="B43" s="20" t="inlineStr">
        <is>
          <t>Clouthaus KLCC</t>
        </is>
      </c>
      <c r="C43" s="29" t="inlineStr">
        <is>
          <t>CONFLICT</t>
        </is>
      </c>
      <c r="D43" s="24" t="inlineStr">
        <is>
          <t>Armani Hallson KLCC Sdn Bhd</t>
        </is>
      </c>
      <c r="E43" s="24" t="inlineStr">
        <is>
          <t>* Developer: TA Global [KB:vRti9dp1xx5yRp4m86Pz]</t>
        </is>
      </c>
      <c r="F43" s="24" t="inlineStr">
        <is>
          <t>WhatsApp — Clouthaus KLCC</t>
        </is>
      </c>
    </row>
    <row r="44">
      <c r="A44" s="19" t="n">
        <v>43</v>
      </c>
      <c r="B44" s="20" t="inlineStr">
        <is>
          <t>Conlay by E&amp;O</t>
        </is>
      </c>
      <c r="C44" s="29" t="inlineStr">
        <is>
          <t>CONFLICT</t>
        </is>
      </c>
      <c r="D44" s="24" t="inlineStr">
        <is>
          <t>Orion Tower Sdn. Bhd</t>
        </is>
      </c>
      <c r="E44" s="24" t="inlineStr">
        <is>
          <t>- Developer: Patsawan Properties Sdn Bhd / Orion Tower Sdn. Bhd [KB:56DmBKa1RdExB0Vt3uvg]</t>
        </is>
      </c>
      <c r="F44" s="24" t="inlineStr">
        <is>
          <t>Conlay by E&amp;O — D2 project facts (client sheet)</t>
        </is>
      </c>
    </row>
    <row r="45">
      <c r="A45" s="19" t="n">
        <v>44</v>
      </c>
      <c r="B45" s="20" t="inlineStr">
        <is>
          <t>Core Residence @ TRX</t>
        </is>
      </c>
      <c r="C45" s="29" t="inlineStr">
        <is>
          <t>CONFLICT</t>
        </is>
      </c>
      <c r="D45" s="24" t="inlineStr">
        <is>
          <t>Armani Hartajaya Sdn Bhd under Pavilion Group (developer of Pavilion KL Mall)</t>
        </is>
      </c>
      <c r="E45" s="24" t="inlineStr">
        <is>
          <t>- Developer: CCCG joint-venture with WCT [KB:O8r6k2jrVEcf9zXLSAKC]</t>
        </is>
      </c>
      <c r="F45" s="24" t="inlineStr">
        <is>
          <t>WhatsApp — Core Res TRX</t>
        </is>
      </c>
    </row>
    <row r="46">
      <c r="A46" s="19" t="n">
        <v>45</v>
      </c>
      <c r="B46" s="20" t="inlineStr">
        <is>
          <t>Dawn KLCC</t>
        </is>
      </c>
      <c r="C46" s="29" t="inlineStr">
        <is>
          <t>CONFLICT</t>
        </is>
      </c>
      <c r="D46" s="24" t="inlineStr">
        <is>
          <t>BSG Group (Top 3 Developer in Penang; completed 10 Stonor KLCC)</t>
        </is>
      </c>
      <c r="E46" s="24" t="inlineStr">
        <is>
          <t>* Developer: Dawn Land Sdn Bhd (an affiliate company of Chin Hin Group Property Berhad) [KB:sAEwPtmvaST2Tg4QHrKf]</t>
        </is>
      </c>
      <c r="F46" s="24" t="inlineStr">
        <is>
          <t>Dawn KLCC — DAWN FAQ_sales.pdf</t>
        </is>
      </c>
    </row>
    <row r="47">
      <c r="A47" s="19" t="n">
        <v>46</v>
      </c>
      <c r="B47" s="20" t="inlineStr">
        <is>
          <t>Eaton Residences by Sutera @ KLCC</t>
        </is>
      </c>
      <c r="C47" s="29" t="inlineStr">
        <is>
          <t>CONFLICT</t>
        </is>
      </c>
      <c r="D47" s="24" t="inlineStr">
        <is>
          <t>DAC Development / Intan Sekitar Sdn Bhd (Crest Builder Berhad)</t>
        </is>
      </c>
      <c r="E47" s="24" t="inlineStr">
        <is>
          <t>- Developer: City View Ventures Sdn Bhd (Subsidiary of GSH Corporation Ltd - SGX listed) [KB:L7dvtvBm4wGoOMjxNuxq] / DAC Development / Intan Sekitar Sdn Bhd [KB:cde5ArGy9wCRzO1C6wa2]</t>
        </is>
      </c>
      <c r="F47" s="24" t="inlineStr">
        <is>
          <t>WhatsApp — Eaton Residences by Sutera @ KLCC | Eaton Residences by Sutera @ KLCC — D2 project facts (client sheet)</t>
        </is>
      </c>
    </row>
    <row r="48">
      <c r="A48" s="19" t="n">
        <v>47</v>
      </c>
      <c r="B48" s="20" t="inlineStr">
        <is>
          <t>Platinum Face Suite 2 KLCC</t>
        </is>
      </c>
      <c r="C48" s="29" t="inlineStr">
        <is>
          <t>CONFLICT</t>
        </is>
      </c>
      <c r="D48" s="24" t="inlineStr">
        <is>
          <t>Andarama SB under Quill group of companies (Completed 20 corporate offices, distributor of BMW &amp; Rolls Royce Msia.)</t>
        </is>
      </c>
      <c r="E48" s="24" t="inlineStr">
        <is>
          <t>- Developer: Andarama SB under Quill group of companies / Platinum Victory Suites [KB:s6Cq9o9dg427IbJCmEW6]</t>
        </is>
      </c>
      <c r="F48" s="24" t="inlineStr">
        <is>
          <t>Platinum Face Suite 2 KLCC — D2 project facts (client sheet)</t>
        </is>
      </c>
    </row>
    <row r="49">
      <c r="A49" s="19" t="n">
        <v>48</v>
      </c>
      <c r="B49" s="20" t="inlineStr">
        <is>
          <t>Armani Hallson @ Jalan Ampang</t>
        </is>
      </c>
      <c r="C49" s="29" t="inlineStr">
        <is>
          <t>CONFLICT</t>
        </is>
      </c>
      <c r="D49" s="24" t="inlineStr">
        <is>
          <t>KL Metro Group</t>
        </is>
      </c>
      <c r="E49" s="24" t="inlineStr">
        <is>
          <t>- Developer: Armani Hallson KLCC Sdn Bhd [KB:GpkrmbhIZyi9w9orPorJ] / KL Metro Group [KB:VeqOCBmCFSVa3TlWqzMC]</t>
        </is>
      </c>
      <c r="F49" s="24" t="inlineStr">
        <is>
          <t>Armani Hallson @ Jalan Ampang — Armani Hallson KLCC Sales Kit_compressed.pdf | Armani Hallson @ Jalan Ampang — D2 project facts (client sheet)</t>
        </is>
      </c>
    </row>
    <row r="50">
      <c r="A50" s="19" t="n">
        <v>49</v>
      </c>
      <c r="B50" s="20" t="inlineStr">
        <is>
          <t>Orion Residence</t>
        </is>
      </c>
      <c r="C50" s="29" t="inlineStr">
        <is>
          <t>CONFLICT</t>
        </is>
      </c>
      <c r="D50" s="24" t="inlineStr">
        <is>
          <t>Oxley Holding (Listed &amp; largest landbank developer in Singapore)</t>
        </is>
      </c>
      <c r="E50" s="24" t="inlineStr">
        <is>
          <t>* Developer: Orion Tower Sdn. Bhd</t>
        </is>
      </c>
      <c r="F50" s="24" t="inlineStr">
        <is>
          <t>—</t>
        </is>
      </c>
    </row>
    <row r="51">
      <c r="A51" s="19" t="n">
        <v>50</v>
      </c>
      <c r="B51" s="20" t="inlineStr">
        <is>
          <t>PSQ Pavilion Square</t>
        </is>
      </c>
      <c r="C51" s="21" t="inlineStr">
        <is>
          <t>PASS</t>
        </is>
      </c>
      <c r="D51" s="24" t="inlineStr">
        <is>
          <t>Hartamaju Sdn Bhd / (a subsidiary of Wing Tai Malaysia Sdn Bhd)</t>
        </is>
      </c>
      <c r="E51" s="24" t="inlineStr">
        <is>
          <t>* Developer: Armani Hartajaya Sdn Bhd / Hartamaju Sdn Bhd (subsidiary under Pavilion Group / Wing Tai Malaysia) [KB:6vGV2DMNKFrSCPVFfEoK]</t>
        </is>
      </c>
      <c r="F51" s="24" t="inlineStr">
        <is>
          <t>PSQ Pavilion Square — D2 project facts (client sheet)</t>
        </is>
      </c>
    </row>
    <row r="52">
      <c r="A52" s="19" t="n">
        <v>51</v>
      </c>
      <c r="B52" s="20" t="inlineStr">
        <is>
          <t>Katana 2 Residence</t>
        </is>
      </c>
      <c r="C52" s="21" t="inlineStr">
        <is>
          <t>PASS</t>
        </is>
      </c>
      <c r="D52" s="24" t="inlineStr">
        <is>
          <t>UM Land Bhd &amp; Symphony Life Bhd</t>
        </is>
      </c>
      <c r="E52" s="24" t="inlineStr">
        <is>
          <t>* Developer: BSG Group &amp; UM Land Bhd / Symphony Life Bhd [KB:7K6g7megCnLfz8eBqvLn]</t>
        </is>
      </c>
      <c r="F52" s="24" t="inlineStr">
        <is>
          <t>Katana 2 Residence — D2 project facts (client sheet)</t>
        </is>
      </c>
    </row>
    <row r="53">
      <c r="A53" s="19" t="n">
        <v>52</v>
      </c>
      <c r="B53" s="20" t="inlineStr">
        <is>
          <t>The Centrix</t>
        </is>
      </c>
      <c r="C53" s="21" t="inlineStr">
        <is>
          <t>PASS</t>
        </is>
      </c>
      <c r="D53" s="24" t="inlineStr">
        <is>
          <t>Multibay Development Sdn Bhd (subsidiary of Golden Eagle Group)</t>
        </is>
      </c>
      <c r="E53" s="24" t="inlineStr">
        <is>
          <t>* Developer: Multibay Development Sdn Bhd / DAC Development / Intan Sekitar Sdn Bhd (Crest Builder Berhad) [KB:TII70fkIrxauDrED7Dvs][KB:ToTXDZwCs2MOTHR5BCLS]</t>
        </is>
      </c>
      <c r="F53" s="24" t="inlineStr">
        <is>
          <t>The Centrix — D2 project facts (client sheet) | The Centrix — 11 projects comparison ROI, Pros&amp;Cons.pdf</t>
        </is>
      </c>
    </row>
    <row r="54">
      <c r="A54" s="19" t="n">
        <v>53</v>
      </c>
      <c r="B54" s="20" t="inlineStr">
        <is>
          <t>Quill Residences KLCC</t>
        </is>
      </c>
      <c r="C54" s="29" t="inlineStr">
        <is>
          <t>CONFLICT</t>
        </is>
      </c>
      <c r="D54" s="24" t="inlineStr">
        <is>
          <t>BBCC Development Sdn Bhd / (A JV between UDA Holdings, EcoWorld, and EPF)</t>
        </is>
      </c>
      <c r="E54" s="24" t="inlineStr">
        <is>
          <t>- Developer: Andarama SB under Quill Group of Companies [KB:aLAakjBWeobV3VACnY3V]</t>
        </is>
      </c>
      <c r="F54" s="24" t="inlineStr">
        <is>
          <t>WhatsApp — Quill Residences KLCC</t>
        </is>
      </c>
    </row>
    <row r="55">
      <c r="A55" s="19" t="n">
        <v>54</v>
      </c>
      <c r="B55" s="20" t="inlineStr">
        <is>
          <t>Royal Lexis KL</t>
        </is>
      </c>
      <c r="C55" s="21" t="inlineStr">
        <is>
          <t>PASS</t>
        </is>
      </c>
      <c r="D55" s="24" t="inlineStr">
        <is>
          <t>KL Metro Group</t>
        </is>
      </c>
      <c r="E55" s="24" t="inlineStr">
        <is>
          <t>- Developer: KL Metro Group [KB:uelnMbxBB9NZC56AoeyZ]</t>
        </is>
      </c>
      <c r="F55" s="24" t="inlineStr">
        <is>
          <t>WhatsApp — Royal Lexis KL</t>
        </is>
      </c>
    </row>
    <row r="56">
      <c r="A56" s="19" t="n">
        <v>55</v>
      </c>
      <c r="B56" s="20" t="inlineStr">
        <is>
          <t>SO Sofitel Residences KLCC</t>
        </is>
      </c>
      <c r="C56" s="21" t="inlineStr">
        <is>
          <t>PASS</t>
        </is>
      </c>
      <c r="D56" s="24" t="inlineStr">
        <is>
          <t>Oxley Holding (Listed &amp; largest landbank developer in Singapore)</t>
        </is>
      </c>
      <c r="E56" s="24" t="inlineStr">
        <is>
          <t>- Developer: Oxley Holding (Listed &amp; largest landbank developer in Singapore) [KB:KqagZI05xis2InM9IBuA]</t>
        </is>
      </c>
      <c r="F56" s="24" t="inlineStr">
        <is>
          <t>SO Sofitel Residences KLCC — D2 project facts (client sheet)</t>
        </is>
      </c>
    </row>
    <row r="57">
      <c r="A57" s="19" t="n">
        <v>56</v>
      </c>
      <c r="B57" s="20" t="inlineStr">
        <is>
          <t>Le Nouvel KLCC</t>
        </is>
      </c>
      <c r="C57" s="35" t="inlineStr">
        <is>
          <t>NO SOURCE</t>
        </is>
      </c>
      <c r="D57" s="24" t="inlineStr">
        <is>
          <t>—</t>
        </is>
      </c>
      <c r="E57" s="24" t="inlineStr">
        <is>
          <t>- Developer: Hartamaju Sdn Bhd (a subsidiary of Wing Tai Malaysia Sdn Bhd) [KB:fC4XTilPWrOTBNnwJ5Af]</t>
        </is>
      </c>
      <c r="F57" s="24" t="inlineStr">
        <is>
          <t>Le Nouvel KLCC — LNKLCC Factsheet final 3.4.25.pdf</t>
        </is>
      </c>
    </row>
    <row r="58">
      <c r="A58" s="19" t="n">
        <v>57</v>
      </c>
      <c r="B58" s="20" t="inlineStr">
        <is>
          <t>Star Residences KLCC</t>
        </is>
      </c>
      <c r="C58" s="35" t="inlineStr">
        <is>
          <t>NO SOURCE</t>
        </is>
      </c>
      <c r="D58" s="24" t="inlineStr">
        <is>
          <t>—</t>
        </is>
      </c>
      <c r="E58" s="24" t="inlineStr">
        <is>
          <t>* Developer: UM Land Bhd &amp; Symphony Life Bhd [KB:cShueljDqIU2kCdodr05]</t>
        </is>
      </c>
      <c r="F58" s="24" t="inlineStr">
        <is>
          <t>WhatsApp — Star Residences KLCC</t>
        </is>
      </c>
    </row>
    <row r="59">
      <c r="A59" s="19" t="n">
        <v>58</v>
      </c>
      <c r="B59" s="20" t="inlineStr">
        <is>
          <t>Jewel by Oxley KLCC</t>
        </is>
      </c>
      <c r="C59" s="32" t="inlineStr">
        <is>
          <t>—</t>
        </is>
      </c>
      <c r="D59" s="24" t="inlineStr">
        <is>
          <t>—</t>
        </is>
      </c>
      <c r="E59" s="24" t="inlineStr">
        <is>
          <t>- Developer: Not on record</t>
        </is>
      </c>
      <c r="F59" s="24" t="inlineStr">
        <is>
          <t>—</t>
        </is>
      </c>
    </row>
    <row r="60">
      <c r="A60" s="19" t="n">
        <v>59</v>
      </c>
      <c r="B60" s="20" t="inlineStr">
        <is>
          <t>Golden Crown Residence</t>
        </is>
      </c>
      <c r="C60" s="21" t="inlineStr">
        <is>
          <t>PASS</t>
        </is>
      </c>
      <c r="D60" s="24" t="inlineStr">
        <is>
          <t>Multibay Development Sdn Bhd (subsidiary of Golden Eagle Group)</t>
        </is>
      </c>
      <c r="E60" s="24" t="inlineStr">
        <is>
          <t>- Developer: Multibay Development Sdn Bhd (subsidiary of Golden Eagle Group) [KB:I1AWH6hb8uG6yjHSQBEq]</t>
        </is>
      </c>
      <c r="F60" s="24" t="inlineStr">
        <is>
          <t>Golden Crown Residence — Golden Crown Residence Summary 23.10.2025.pdf</t>
        </is>
      </c>
    </row>
    <row r="61">
      <c r="A61" s="19" t="n">
        <v>60</v>
      </c>
      <c r="B61" s="20" t="inlineStr">
        <is>
          <t>SWNK Houze @ BBCC (Bukit Bintang City Centre)</t>
        </is>
      </c>
      <c r="C61" s="21" t="inlineStr">
        <is>
          <t>PASS</t>
        </is>
      </c>
      <c r="D61" s="24" t="inlineStr">
        <is>
          <t>BBCC Development Sdn Bhd / (A JV between UDA Holdings, EcoWorld, and EPF)</t>
        </is>
      </c>
      <c r="E61" s="24" t="inlineStr">
        <is>
          <t>* Developer: BBCC Development Sdn Bhd (Joint Venture between EcoWorld, EPF, and UDA Holdings) [KB:Mu3WUwnBOKuOTY8F9b9G]</t>
        </is>
      </c>
      <c r="F61" s="24" t="inlineStr">
        <is>
          <t>WhatsApp — SWNK houze BBCC</t>
        </is>
      </c>
    </row>
    <row r="62">
      <c r="A62" s="19" t="n">
        <v>61</v>
      </c>
      <c r="B62" s="20" t="inlineStr">
        <is>
          <t>Times Square 2 Residences Kuala Lumpur</t>
        </is>
      </c>
      <c r="C62" s="35" t="inlineStr">
        <is>
          <t>NO SOURCE</t>
        </is>
      </c>
      <c r="D62" s="24" t="inlineStr">
        <is>
          <t>—</t>
        </is>
      </c>
      <c r="E62" s="24" t="inlineStr">
        <is>
          <t>* Developer: Berjaya Group / Berjaya Properties</t>
        </is>
      </c>
      <c r="F62" s="24" t="inlineStr">
        <is>
          <t>—</t>
        </is>
      </c>
    </row>
    <row r="63">
      <c r="A63" s="19" t="n">
        <v>62</v>
      </c>
      <c r="B63" s="20" t="inlineStr">
        <is>
          <t>The Manor KLCC</t>
        </is>
      </c>
      <c r="C63" s="21" t="inlineStr">
        <is>
          <t>PASS</t>
        </is>
      </c>
      <c r="D63" s="24" t="inlineStr">
        <is>
          <t>Desaria Property Sdn Bhd</t>
        </is>
      </c>
      <c r="E63" s="24" t="inlineStr">
        <is>
          <t>* Developer: Desaria Property Sdn Bhd</t>
        </is>
      </c>
      <c r="F63" s="24" t="inlineStr">
        <is>
          <t>—</t>
        </is>
      </c>
    </row>
    <row r="64">
      <c r="A64" s="19" t="n">
        <v>63</v>
      </c>
      <c r="B64" s="20" t="inlineStr">
        <is>
          <t>TRX Residences</t>
        </is>
      </c>
      <c r="C64" s="35" t="inlineStr">
        <is>
          <t>NO SOURCE</t>
        </is>
      </c>
      <c r="D64" s="24" t="inlineStr">
        <is>
          <t>—</t>
        </is>
      </c>
      <c r="E64" s="24" t="inlineStr">
        <is>
          <t>* Developer: Lendlease [KB:USdhBw2TdwgZ7kn7RCLT]</t>
        </is>
      </c>
      <c r="F64" s="24" t="inlineStr">
        <is>
          <t>TRX Residences — Quick Fact.docx</t>
        </is>
      </c>
    </row>
    <row r="65">
      <c r="A65" s="19" t="n">
        <v>64</v>
      </c>
      <c r="B65" s="20" t="inlineStr">
        <is>
          <t>The Oval Kuala Lumpur</t>
        </is>
      </c>
      <c r="C65" s="21" t="inlineStr">
        <is>
          <t>PASS</t>
        </is>
      </c>
      <c r="D65" s="24" t="inlineStr">
        <is>
          <t>Oval Suites Sdn Bhd</t>
        </is>
      </c>
      <c r="E65" s="24" t="inlineStr">
        <is>
          <t>- Developer: Oval Suites Sdn Bhd / Vendor: Titan Debut Sdn Bhd (Subsidiary of GuocoLand Malaysia Berhad) [KB:KqONfsH8hzhAkqr8lwi2]</t>
        </is>
      </c>
      <c r="F65" s="24" t="inlineStr">
        <is>
          <t>WhatsApp — (Sold out)Oval KLCC</t>
        </is>
      </c>
    </row>
    <row r="66">
      <c r="A66" s="19" t="n">
        <v>65</v>
      </c>
      <c r="B66" s="20" t="inlineStr">
        <is>
          <t>The Ritz- Carlton Residences</t>
        </is>
      </c>
      <c r="C66" s="32" t="inlineStr">
        <is>
          <t>—</t>
        </is>
      </c>
      <c r="D66" s="24" t="inlineStr">
        <is>
          <t>—</t>
        </is>
      </c>
      <c r="E66" s="24" t="inlineStr">
        <is>
          <t>- Developer: Not on record</t>
        </is>
      </c>
      <c r="F66" s="24" t="inlineStr">
        <is>
          <t>—</t>
        </is>
      </c>
    </row>
    <row r="67">
      <c r="A67" s="19" t="n">
        <v>66</v>
      </c>
      <c r="B67" s="20" t="inlineStr">
        <is>
          <t>The Stride Office @ BBCC</t>
        </is>
      </c>
      <c r="C67" s="21" t="inlineStr">
        <is>
          <t>PASS</t>
        </is>
      </c>
      <c r="D67" s="24" t="inlineStr">
        <is>
          <t>BBCC Development Sdn Bhd / (JV between UDA Holdings, EcoWorld, and EPF)</t>
        </is>
      </c>
      <c r="E67" s="24" t="inlineStr">
        <is>
          <t>- Developer: BBCC Development Sdn Bhd (JV between UDA Holdings, EcoWorld, and EPF) [KB:T4MYH11fGH7gD25IzrJg]</t>
        </is>
      </c>
      <c r="F67" s="24" t="inlineStr">
        <is>
          <t>The Stride Office @ BBCC — D2 project facts (client sheet)</t>
        </is>
      </c>
    </row>
    <row r="68">
      <c r="A68" s="19" t="n">
        <v>67</v>
      </c>
      <c r="B68" s="20" t="inlineStr">
        <is>
          <t>Rimbun Saujana Residency</t>
        </is>
      </c>
      <c r="C68" s="21" t="inlineStr">
        <is>
          <t>PASS</t>
        </is>
      </c>
      <c r="D68" s="24" t="inlineStr">
        <is>
          <t>Saujana Development Sdn Bhd</t>
        </is>
      </c>
      <c r="E68" s="24" t="inlineStr">
        <is>
          <t>- Developer: Saujana Development Sdn Bhd [KB:eAxh96uFbWzHSnBR9ZEC]</t>
        </is>
      </c>
      <c r="F68" s="24" t="inlineStr">
        <is>
          <t>WhatsApp — Rimbun Saujana Residency</t>
        </is>
      </c>
    </row>
    <row r="69">
      <c r="A69" s="19" t="n">
        <v>68</v>
      </c>
      <c r="B69" s="20" t="inlineStr">
        <is>
          <t>Luminar Residence Subang by BRDB</t>
        </is>
      </c>
      <c r="C69" s="21" t="inlineStr">
        <is>
          <t>PASS</t>
        </is>
      </c>
      <c r="D69" s="24" t="inlineStr">
        <is>
          <t>BRDB (BSC, 111 Menerung, Miranda, etc.)</t>
        </is>
      </c>
      <c r="E69" s="24" t="inlineStr">
        <is>
          <t>- Developer: BRDB (BSC, 111 Menerung, Miranda, etc.) [KB:QRd9cyypsHICbTvqWH0S]</t>
        </is>
      </c>
      <c r="F69" s="24" t="inlineStr">
        <is>
          <t>Luminar Residence Subang by BRDB — D2 project facts (client sheet)</t>
        </is>
      </c>
    </row>
    <row r="70">
      <c r="A70" s="19" t="n">
        <v>69</v>
      </c>
      <c r="B70" s="20" t="inlineStr">
        <is>
          <t>Accent PJ</t>
        </is>
      </c>
      <c r="C70" s="21" t="inlineStr">
        <is>
          <t>PASS</t>
        </is>
      </c>
      <c r="D70" s="24" t="inlineStr">
        <is>
          <t>Avaland Berhad (Ayala Land Group)</t>
        </is>
      </c>
      <c r="E70" s="24" t="inlineStr">
        <is>
          <t>- Developer: Avaland Berhad (Ayala Land Group) [KB:efk56G9FmbWycBptJKuK]</t>
        </is>
      </c>
      <c r="F70" s="24" t="inlineStr">
        <is>
          <t>WhatsApp — Accent PJ</t>
        </is>
      </c>
    </row>
    <row r="71">
      <c r="A71" s="19" t="n">
        <v>70</v>
      </c>
      <c r="B71" s="20" t="inlineStr">
        <is>
          <t>26 Araville PJ</t>
        </is>
      </c>
      <c r="C71" s="21" t="inlineStr">
        <is>
          <t>PASS</t>
        </is>
      </c>
      <c r="D71" s="24" t="inlineStr">
        <is>
          <t>Pujangga Budiman</t>
        </is>
      </c>
      <c r="E71" s="24" t="inlineStr">
        <is>
          <t>* Developer: Pujangga Budiman [KB:Zi3aq2Z9E7rllWFKUH1X]</t>
        </is>
      </c>
      <c r="F71" s="24" t="inlineStr">
        <is>
          <t>26 Araville PJ — D2 project facts (client sheet)</t>
        </is>
      </c>
    </row>
    <row r="72">
      <c r="A72" s="19" t="n">
        <v>71</v>
      </c>
      <c r="B72" s="20" t="inlineStr">
        <is>
          <t>The Atera, PJ by Paramount Property</t>
        </is>
      </c>
      <c r="C72" s="21" t="inlineStr">
        <is>
          <t>PASS</t>
        </is>
      </c>
      <c r="D72" s="24" t="inlineStr">
        <is>
          <t>Paramount Properties (listed developer with 40+ years experience)</t>
        </is>
      </c>
      <c r="E72" s="24" t="inlineStr">
        <is>
          <t>* Developer: Paramount Properties (listed developer with 40+ years experience) [KB:CxbsLqOkfJmyXGYk4Now]</t>
        </is>
      </c>
      <c r="F72" s="24" t="inlineStr">
        <is>
          <t>WhatsApp — Atera PJ by Paramount</t>
        </is>
      </c>
    </row>
    <row r="73">
      <c r="A73" s="19" t="n">
        <v>72</v>
      </c>
      <c r="B73" s="20" t="inlineStr">
        <is>
          <t>Anyara Hills</t>
        </is>
      </c>
      <c r="C73" s="21" t="inlineStr">
        <is>
          <t>PASS</t>
        </is>
      </c>
      <c r="D73" s="24" t="inlineStr">
        <is>
          <t>KHK Land</t>
        </is>
      </c>
      <c r="E73" s="24" t="inlineStr">
        <is>
          <t>- Developer: KHK Land [KB:lcoAvNQusTRmeGYoxghX]</t>
        </is>
      </c>
      <c r="F73" s="24" t="inlineStr">
        <is>
          <t>Anyara Hills — D2 project facts (client sheet)</t>
        </is>
      </c>
    </row>
    <row r="74">
      <c r="A74" s="19" t="n">
        <v>73</v>
      </c>
      <c r="B74" s="20" t="inlineStr">
        <is>
          <t>Yanu Hills @ Bon Estates</t>
        </is>
      </c>
      <c r="C74" s="35" t="inlineStr">
        <is>
          <t>NO SOURCE</t>
        </is>
      </c>
      <c r="D74" s="24" t="inlineStr">
        <is>
          <t>—</t>
        </is>
      </c>
      <c r="E74" s="24" t="inlineStr">
        <is>
          <t>- Developer: Bon Estates (Bon Enclave Sdn Bhd) [KB:VmS6RYBIEEdnxFCef8Nf, KB:tHkBqlf0YIy9rOMiP6Aw]</t>
        </is>
      </c>
      <c r="F74" s="24" t="inlineStr">
        <is>
          <t>Yanu Hills @ Bon Estates — Yanu Hills Saleskit.pdf | Yanu Hills @ Bon Estates — Yanu Hills E-Brochure.pdf</t>
        </is>
      </c>
    </row>
    <row r="75">
      <c r="A75" s="19" t="n">
        <v>74</v>
      </c>
      <c r="B75" s="20" t="inlineStr">
        <is>
          <t>Rafflesia @ Hill 4</t>
        </is>
      </c>
      <c r="C75" s="21" t="inlineStr">
        <is>
          <t>PASS</t>
        </is>
      </c>
      <c r="D75" s="24" t="inlineStr">
        <is>
          <t>MK Land</t>
        </is>
      </c>
      <c r="E75" s="24" t="inlineStr">
        <is>
          <t>- Developer: MK Land [KB:sGqAWBJMlNg2krpiXxKU]</t>
        </is>
      </c>
      <c r="F75" s="24" t="inlineStr">
        <is>
          <t>Rafflesia @ Hill 2, 3 &amp; 4 — D2 project facts (client sheet)</t>
        </is>
      </c>
    </row>
    <row r="76">
      <c r="A76" s="19" t="n">
        <v>75</v>
      </c>
      <c r="B76" s="20" t="inlineStr">
        <is>
          <t>DAYA Residence</t>
        </is>
      </c>
      <c r="C76" s="21" t="inlineStr">
        <is>
          <t>PASS</t>
        </is>
      </c>
      <c r="D76" s="24" t="inlineStr">
        <is>
          <t>TSR Development Sdn Bhd</t>
        </is>
      </c>
      <c r="E76" s="24" t="inlineStr">
        <is>
          <t>* Developer: TSR Development Sdn Bhd [KB:NvNuhXjB8zwwTwI8ndTU]</t>
        </is>
      </c>
      <c r="F76" s="24" t="inlineStr">
        <is>
          <t>DAYA Residence — D2 project facts (client sheet)</t>
        </is>
      </c>
    </row>
    <row r="77">
      <c r="A77" s="19" t="n">
        <v>76</v>
      </c>
      <c r="B77" s="20" t="inlineStr">
        <is>
          <t>Vila Setara Happy Garden</t>
        </is>
      </c>
      <c r="C77" s="21" t="inlineStr">
        <is>
          <t>PASS</t>
        </is>
      </c>
      <c r="D77" s="24" t="inlineStr">
        <is>
          <t>Pembangunan Jujur Sejiwa Sdn Bhd</t>
        </is>
      </c>
      <c r="E77" s="24" t="inlineStr">
        <is>
          <t>* Developer: Pembangunan Jujur Sejiwa Sdn. Bhd. [KB:FLoeORqN8HJxdp9hsavY]</t>
        </is>
      </c>
      <c r="F77" s="24" t="inlineStr">
        <is>
          <t>WhatsApp — Villa Setara Happy Garden</t>
        </is>
      </c>
    </row>
    <row r="78">
      <c r="A78" s="19" t="n">
        <v>77</v>
      </c>
      <c r="B78" s="20" t="inlineStr">
        <is>
          <t>E&amp;O – City of Elmina (Laman Embun Commercial)</t>
        </is>
      </c>
      <c r="C78" s="21" t="inlineStr">
        <is>
          <t>PASS</t>
        </is>
      </c>
      <c r="D78" s="24" t="inlineStr">
        <is>
          <t>Eastern &amp; Oriental (E&amp;O)</t>
        </is>
      </c>
      <c r="E78" s="24" t="inlineStr">
        <is>
          <t>- Developer: Eastern &amp; Oriental (E&amp;O) [KB:yY7RDRIHI4QxSjWHga5p]</t>
        </is>
      </c>
      <c r="F78" s="24" t="inlineStr">
        <is>
          <t>E&amp;O – City of Elmina (Laman Embun Commercial) — D2 project facts (client sheet)</t>
        </is>
      </c>
    </row>
    <row r="79">
      <c r="A79" s="19" t="n">
        <v>78</v>
      </c>
      <c r="B79" s="20" t="inlineStr">
        <is>
          <t>Aspire office @ KL ecocity</t>
        </is>
      </c>
      <c r="C79" s="21" t="inlineStr">
        <is>
          <t>PASS</t>
        </is>
      </c>
      <c r="D79" s="24" t="inlineStr">
        <is>
          <t>S P Setia Berhad</t>
        </is>
      </c>
      <c r="E79" s="24" t="inlineStr">
        <is>
          <t>- Developer: S P Setia Berhad [KB:PE2YftVpHiB4sJvPqZmm]</t>
        </is>
      </c>
      <c r="F79" s="24" t="inlineStr">
        <is>
          <t>WhatsApp — Aspire office @ KL ecocity</t>
        </is>
      </c>
    </row>
    <row r="80">
      <c r="A80" s="19" t="n">
        <v>79</v>
      </c>
      <c r="B80" s="20" t="inlineStr">
        <is>
          <t>The MET, Corporate Tower</t>
        </is>
      </c>
      <c r="C80" s="21" t="inlineStr">
        <is>
          <t>PASS</t>
        </is>
      </c>
      <c r="D80" s="24" t="inlineStr">
        <is>
          <t>Triterra (Chairman: Datuk Seri Michael Yam)</t>
        </is>
      </c>
      <c r="E80" s="24" t="inlineStr">
        <is>
          <t>- Developer: Triterra (Chairman: Datuk Seri Michael Yam) / Triterra Metropolis Sdn Bhd [KB:B4YOymtiSEJuUhzy8fFB]</t>
        </is>
      </c>
      <c r="F80" s="24" t="inlineStr">
        <is>
          <t>The MET, Corporate Tower — D2 project facts (client sheet)</t>
        </is>
      </c>
    </row>
    <row r="81">
      <c r="A81" s="19" t="n">
        <v>80</v>
      </c>
      <c r="B81" s="20" t="inlineStr">
        <is>
          <t>Sierra Hijau (Landed)</t>
        </is>
      </c>
      <c r="C81" s="21" t="inlineStr">
        <is>
          <t>PASS</t>
        </is>
      </c>
      <c r="D81" s="24" t="inlineStr">
        <is>
          <t>Sierra Ukay Sdn Bhd (subsidiary of IJM Berhad)</t>
        </is>
      </c>
      <c r="E81" s="24" t="inlineStr">
        <is>
          <t>* Developer: Sierra Ukay Sdn Bhd (subsidiary of IJM Berhad) [KB:mYNS6rnwTpiUMoNBSikk], [KB:HD78nOe5vpZYqHT69a8i]</t>
        </is>
      </c>
      <c r="F81" s="24" t="inlineStr">
        <is>
          <t>Sierra Hijau (Landed) — D2 project facts (client sheet) | WhatsApp — IJM Sierra Hijauan</t>
        </is>
      </c>
    </row>
    <row r="82">
      <c r="A82" s="19" t="n">
        <v>81</v>
      </c>
      <c r="B82" s="20" t="inlineStr">
        <is>
          <t>Melbourne Square</t>
        </is>
      </c>
      <c r="C82" s="21" t="inlineStr">
        <is>
          <t>PASS</t>
        </is>
      </c>
      <c r="D82" s="24" t="inlineStr">
        <is>
          <t>OSK Property (JV with EPF)</t>
        </is>
      </c>
      <c r="E82" s="24" t="inlineStr">
        <is>
          <t>- Developer: OSK Property (JV with EPF) [KB:TaMVFWNHEwt6u2aaudBx]</t>
        </is>
      </c>
      <c r="F82" s="24" t="inlineStr">
        <is>
          <t>Melbourne Square — D2 project facts (client sheet)</t>
        </is>
      </c>
    </row>
    <row r="83">
      <c r="A83" s="19" t="n">
        <v>82</v>
      </c>
      <c r="B83" s="20" t="inlineStr">
        <is>
          <t>Lagenda Tunku (Villa Gemilang)</t>
        </is>
      </c>
      <c r="C83" s="32" t="inlineStr">
        <is>
          <t>—</t>
        </is>
      </c>
      <c r="D83" s="24" t="inlineStr">
        <is>
          <t>—</t>
        </is>
      </c>
      <c r="E83" s="24" t="inlineStr">
        <is>
          <t>—</t>
        </is>
      </c>
      <c r="F83" s="24" t="inlineStr">
        <is>
          <t>—</t>
        </is>
      </c>
    </row>
    <row r="84">
      <c r="A84" s="19" t="n">
        <v>83</v>
      </c>
      <c r="B84" s="20" t="inlineStr">
        <is>
          <t>Ashbourne</t>
        </is>
      </c>
      <c r="C84" s="32" t="inlineStr">
        <is>
          <t>—</t>
        </is>
      </c>
      <c r="D84" s="24" t="inlineStr">
        <is>
          <t>—</t>
        </is>
      </c>
      <c r="E84" s="24" t="inlineStr">
        <is>
          <t>—</t>
        </is>
      </c>
      <c r="F84" s="2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8" customWidth="1" min="1" max="1"/>
    <col width="32" customWidth="1" min="2" max="2"/>
    <col width="9" customWidth="1" min="3" max="3"/>
    <col width="44" customWidth="1" min="4" max="4"/>
    <col width="120" customWidth="1" min="5" max="5"/>
  </cols>
  <sheetData>
    <row r="1">
      <c r="A1" s="18" t="inlineStr">
        <is>
          <t>ID</t>
        </is>
      </c>
      <c r="B1" s="18" t="inlineStr">
        <is>
          <t>Project / case</t>
        </is>
      </c>
      <c r="C1" s="18" t="inlineStr">
        <is>
          <t>Seconds</t>
        </is>
      </c>
      <c r="D1" s="18" t="inlineStr">
        <is>
          <t>Conversation ID</t>
        </is>
      </c>
      <c r="E1" s="18" t="inlineStr">
        <is>
          <t>Answer (as saved)</t>
        </is>
      </c>
    </row>
    <row r="2" ht="60" customHeight="1">
      <c r="A2" s="19" t="inlineStr">
        <is>
          <t>S-F9</t>
        </is>
      </c>
      <c r="B2" s="20" t="inlineStr">
        <is>
          <t>S-F9</t>
        </is>
      </c>
      <c r="C2" s="19" t="n">
        <v>16.7</v>
      </c>
      <c r="D2" s="20" t="inlineStr">
        <is>
          <t>chat-7e08f550-3456-4592-b95c-9bc6b41a915f</t>
        </is>
      </c>
      <c r="E2" s="24" t="inlineStr">
        <is>
          <t>{"matches":[{"projectId":"2XuDf0Kw7ebp92Z4CMaP","name":"Dawn KLCC","rationale":"Prime location just 385m from KLCC Twin Towers within budget, making it a strong capital appreciation and rental demand candidate. Project ID: 2XuDf0Kw7ebp92Z4CMaP.","matchedCriteria":{"segment":"investment","priceMax":1500000,"nationality":"malaysian","bumiputera":false,"locationPref":"KLCC","bedrooms":null},"highlight":"385m walking distance to KLCC Twin Towers","collateral":[{"type":"drive","url":"https://drive.google.com/drive/folders/1exgYu8PWrdwb4CbDM9SsVwJv_TcbcmNR?usp=drive_link"},{"type":"drive","url":"https://drive.google.com/drive/folders/1s8lV8r7xRqEEe3VoFiWyKWvr31uak0ku?usp=drive_link"},{"type":"project-info","url":"https://drive.google.com/drive/folders/1cNX40k3Wz131QPkf9zXCoYNkZKvs-ISO?usp=sharing"}]},{"projectId":"LFQ1wAO6pY3cjZRfBrFd","name":"SO Sofitel Residences KLCC","rationale":"Completed VP branded luxury residence situated 250m from KLCC, ideal for immediate rental yield deployment. Project ID: LFQ1wAO6pY3cjZRfBrFd.","matchedCriteria":{"segment":"investment","priceMax":1500000,"nationality":"malaysian","bumiputera":false,"locationPref":"KLCC","bedrooms":null},"highlight":"Completed VP project 250m from KLCC Park","collateral":[{"type":"showroom-video","url":"https://drive.google.com/drive/folders/1vmesCu7y1WL3b44IrtKo051ULGY32vEy?usp=drive_link"},{"type":"drive","url":"https://drive.google.com/drive/folders/1v8BhWtyaRh7TvUhRFDEbvkMuZOz9OTPF?usp=sharing"},{"type":"reels","url":"https://drive.google.com/drive/folders/1iNFVX5sqlbhEYQrxsDNdWyxx7F3WEyh4?usp=drive_link"},{"type":"showroom-video","url":"https://drive.google.com/drive/folders/19zzESa5WLJAAsaUFUTmRgPLFEKKCHDdp?usp=drive_link"},{"type":"drone-footage","url":"https://drive.google.com/drive/folders/1Q_HtxSgyG-SYacLud4VgCeDwlBWUPYmm?usp=drive_link"},{"type":"fb-ads","url":"https://drive.google.com/drive/folders/1fnDolIyPPpKNgEfI-EVAnLmNDjyZh1Jf?usp=sharing"},{"type":"whatsapp-media","url":"https://firebasestorage.googleapis.com/v0/b/cy-csaiagent.firebasestorage.app/o/collateral%2FLFQ1wAO6pY3cjZRfBrFd%2Fwhatsapp%2FBanker%20Carley%20(Alliance%20Bank)%20.vcf?alt=media&amp;token=e2efe8ec-b60e-4a7d-8e7a-16ebba12550b"},{"type":"whatsapp-media","url":"https://firebasestorage.googleapis.com/v0/b/cy-csaiagent.firebasestorage.app/o/collateral%2FLFQ1wAO6pY3cjZRfBrFd%2Fwhatsapp%2FBanker%20Andric%20(Affin).vcf?alt=media&amp;token=816a0680-b6a4-43dd-8166-975968515279"},{"type":"whatsapp-media","url":"https://firebasestorage.googleapis.com/v0/b/cy-csaiagent.firebasestorage.app/o/collateral%2FLFQ1wAO6pY3cjZRfBrFd%2Fwhatsapp%2FBanker%20Andric%20(Affin)%20.vcf?alt=media&amp;token=6774fb7c-41ef-4a7a-9243-b8106e87deb3"},{"type":"whatsapp-media","url":"https://firebasestorage.googleapis.com/v0/b/cy-csaiagent.firebasestorage.app/o/collateral%2FLFQ1wAO6pY3cjZRfBrFd%2Fwhatsapp%2F_3%20contacts.vcf?alt=media&amp;token=0e8486d6-354d-411c-b5a2-850144d5e389"},{"type":"whatsapp-media","url":"https://firebasestorage.googleapis.com/v0/b/cy-csaiagent.firebasestorage.app/o/collateral%2FLFQ1wAO6pY3cjZRfBrFd%2Fwhatsapp%2FLego%20Vipod%20Broadband%20Application%20Agent.vcf?alt=media&amp;token=9b5ff391-0671-4ff4-b5ea-6f87b146b1da"},{"type":"whatsapp-media","url":"https://firebasestorage.googleapis.com/v0/b/cy-csaiagent.firebasestorage.app/o/collateral%2FLFQ1wAO6pY3cjZRfBrFd%2Fwhatsapp%2FBOC%20Eloise%20Chan.vcf?alt=media&amp;token=66a28c84-5fab-4dc7-812c-a39243ee3deb"}]},{"projectId":"A7h6tCOPvghxPHW1l5JA","name":"Eaton Residences by Sutera @ KLCC","rationale":"Completed VP development on Jalan Kia Peng offered under RM1.2m, providing immediate rental income potential. Project ID: A7h6tCOPvghxPHW1l5JA.","matchedCriteria":{"segment":"investment","priceMax":1500000,"nationality":"malaysian","bumiputera":false,"locationPref":"KLCC","bedrooms":null},"highlight":"Completed VP project located on Jalan Kia Peng","collateral":[{"type":"whatsapp-media","url":"https://firebasestorage.googleapis.com/v0/b/cy-csaiagent.firebasestorage.app/o/collateral%2FA7h6tCOPvghxPHW1l5JA%2Fwhatsapp%2FEaton%20MCO%20080822.pdf?alt=media&amp;token=238cba7b-2989-4fcf-ab3c-6376402132fb"},{"type":"whatsapp-media","url":"https://firebasestorage.googleapis.com/v0/b/cy-csaiagent.firebasestorage.app/o/collateral%2FA7h6tCOPvghxPHW1l5JA%2Fwhatsapp%2FDutama%20-%20Notice%20Letter%20New%20Selling%20Package%20Letter%2015082024%20-%20Darren.pdf?alt=media&amp;token=9305b8a7-a7e1-4f47-be2a-6c13a365f5ce"},{"type":"whatsapp-media","url":"https://firebasestorage.googleapis.com/v0/b/cy-csaiagent.firebasestorage.app/o/collateral%2FA7h6tCOPvghxPHW1l5JA%2Fwhatsapp%2FEaton%20Special%20Package_Intermediate_170122.pdf?alt=media&amp;token=2bf1e233-fdcc-4ef7-b298-652c273e12a1"},{"type":"whatsapp-media","url":"https://firebasestorage.googleapis.com/v0/b/cy-csaiagent.firebasestorage.app/o/collateral%2FA7h6tCOPvghxPHW1l5JA%2Fwhatsapp%2F11.%20FAQ.pdf?alt=media&amp;token=5cf0872f-3748-483a-8e1f-28217fa07592"},{"type":"whatsapp-media","url":"https://firebasestorage.googleapis.com/v0/b/cy-csaiagent.firebasestorage.app/o/collateral%2FA7h6tCOPvghxPHW1l5JA%2Fwhatsapp%2FEaton%20KLCC_GRR%20PACKAGE_Oct%202024.pdf?alt=media&amp;token=e7309afd-a5a4-47fe-acad-d0ee8e66942f"},{"type":"whatsapp-media","url":"https://firebasestorage.googleapis.com/v0/b/cy-csaiagent.firebasestorage.app/o/collateral%2FA7h6tCOPvghxPHW1l5JA%2Fwhatsapp%2F1a.%20New%20Brochure%20(English).pdf?alt=media&amp;token=f71d48bd-495c-4d95-9dea-9726920994dc"},{"type":"whatsapp-media","url":"https://firebasestorage.googleapis.com/v0/b/cy-csaiagent.firebasestorage.app/o/collateral%2FA7h6tCOPvghxPHW1l5JA%2Fwhatsapp%2F12a.%20New%20Sales%20Kit%20(Eng).pdf?alt=media&amp;token=3c384c9f-8e7a-4dbe-bc85-6d54c959eb5b"},{"type":"whatsapp-media","url":"https://firebasestorage.googleapis.com/v0/b/cy-csaiagent.firebasestorage.app/o/collateral%2FA7h6tCOPvghxPHW1l5JA%2Fwhatsapp%2FHot%20units%2011%20(R1).pdf?alt=media&amp;token=a02d3aa2-08e6-463d-9301-6f4b260beaa5"},{"type":"whatsapp-media","url":"https://firebasestorage.googleapis.com/v0/b/cy-csaiagent.firebasestorage.app/o/collateral%2FA7h6tCOPvghxPHW1l5JA%2Fwhatsapp%2FEaton%20%20-%20Type%20A%20_%20B%20(Complimentary%20FF).pdf?alt=media&amp;token=a8b572ee-9219-46ec-b3fc-0ec67eaf857f"},{"type":"whatsapp-media","url":"https://firebasestorage.googleapis.com/v0/b/cy-csaiagent.firebasestorage.app/o/collateral%2FA7h6tCOPvghxPHW1l5JA%2Fwhatsapp%2FEaton%20Intermediate%20080822.pdf?alt=media&amp;token=d73043d0-ede0-423b-9c2d-720ff0768944"},{"type":"whatsapp-media","url":"https://firebasestorage.googleapis.com/v0/b/cy-csaiagent.firebasestorage.app/o/collateral%2FA7h6tCOPvghxPHW1l5JA%2Fwhatsapp%2FEaton%20Corner%20100522.pdf?alt=media&amp;token=a2c2b0dc-1f1d-4d54-b9a8-6ac98b9749fb"},{"type":"whatsapp-media","url":"https://firebasestorage.googleapis.com/v0/b/cy-csaiagent.firebasestorage.app/o/collateral%2FA7h6tCOPvghxPHW1l5JA%2Fwhatsapp%2FEaton%20Penthouse_May%202024.pdf?alt=media&amp;token=b149b1af-6fce-4e23-90f5-a7cb56eaad9e"}]},{"projectId":"DFZ9QGqJWkwcAfktHGBK","name":"TRX Residences","rationale":"Completed VP property seamlessly connected to the Tun Razak Exchange financial district, appealing to corporate tenants. Project ID: DFZ9QGqJWkwcAfktHGBK.","matchedCriteria":{"segment":"investment","priceMax":1500000,"nationality":"malaysian","bumiputera":false,"locationPref":"KLCC","bedrooms":null},"highlight":"Completed VP in Malaysia's premier financial hub"}],"rows":[{"projectId":"2XuDf0Kw7ebp92Z4CMaP","name":"Dawn KLCC","priceValue":1270000,"bedrooms":1,"tenure":"Freehold","locationText":"KLCC, Kuala Lumpur. 385m to KLCC Twin Towers, walking distance to LRT KLCC, Kampung Baru, near W Hotel &amp; Four Seasons Hotel.","vpStatus":false,"bumiQuota":false,"foreignEligible":false,"sizeMinSqft":348,"sizeMaxSqft":835,"score":0.7083598522540566},{"projectId":"LFQ1wAO6pY3cjZRfBrFd","name":"SO Sofitel Residences KLCC","priceValue":1212640,"bedrooms":1,"tenure":"Freehold","locationText":"KLCC Ampang, 250m walk to KLCC &amp; KLCC Park, beside Four Seasons Hotel, near 2 LRT &amp; 2 MRT stations","vpStatus":true,"bumiQuota":false,"foreignEligible":false,"sizeMinSqft":566,"sizeMaxSqft":995,"score":0.6954203996426648},{"projectId":"A7h6tCOPvghxPHW1l5JA","name":"Eaton Residences by Sutera @ KLCC","priceValue":1148750,"bedrooms":1,"tenure":"Leasehold 2114","locationText":"Jalan Kia Peng, KLCC, Kuala Lumpur","vpStatus":true,"bumiQuota":false,"foreignEligible":true,"sizeMinSqft":635,"sizeMaxSqft":2885,"score":0.6848114441188285},{"projectId":"DFZ9QGqJWkwcAfktHGBK","name":"TRX Residences","priceValue":1032000,"bedrooms":1,"tenure":"Freehold","locationText":"Tun Razak Exchange (TRX), KLCC/Bukit Bintang, Kuala Lumpur (55188)","vpStatus":true,"bumiQuota":false,"foreignEligible":true,"sizeMinSqft":474,"sizeMaxSqft":1636,"score":0.6690717307512469},{"projectId":"6Vl2Py196ogTG3seI28U","name":"Quill Residences KLCC","priceValue":761000,"bedrooms":1,"tenure":"Freehold","locationText":"Jalan Sultan Ismail above Quill City Mall, Golden Triangle KL (KLCC/Bukit Bintang)","vpStatus":true,"bumiQuota":false,"foreignEligible":false,"sizeMinSqft":null,"sizeMaxSqft":null,"score":0.6985484977148851},{"projectId":"Vy42PE5qZxJzLIBe2fvW","name":"Star Residences KLCC","priceValue":0,"bedrooms":0,"tenure":"Freehold","locationText":"Opposite KLCC, Jalan Yap Kwan Seng, KLCC district, walking distance to shopping &amp; business area","vpStatus":true,"bumiQuota":false,"foreignEligible":false,"sizeMinSqft":625,"sizeMaxSqft":2972,"score":0.6971852974400345},{"projectId":"mkhvGpzdLqmO1Y6o6M1F","name":"Platinum Face Suite 2 KLCC","priceValue":0,"bedrooms":0,"tenure":"Freehold","locationText":"Jalan Sultan Ismail, Kuala Lumpur (KLCC area)","vpStatus":true,"bumiQuota":false,"foreignEligible":true,"sizeMinSqft":550,"sizeMaxSqft":1625,"score":0.6822226088094167},{"projectId":"incefTUSycrB4BWTssgn","name":"The Manor KLCC","priceValue":1493172,"bedrooms":0,"tenure":"Freehold","locationText":"Persiaran Stonor, KLCC, Kuala Lumpur","vpStatus":false,"bumiQuota":false,"foreignEligible":false,"sizeMinSqft":null,"sizeMaxSqft":null,"score":0.672018879665817},{"projectId":"3mxxrORFeZBV2RSUMu98","name":"Aria Luxury Residence @ KLCC","priceValue":1411000,"bedrooms":0,"tenure":"Freehold","locationText":"Jalan Tun Razak, near KLCC, Kuala Lumpur city centre","vpStatus":false,"bumiQuota":false,"foreignEligible":false,"sizeMinSqft":null,"sizeMaxSqft":null,"score":0.6841390601461934},{"projectId":"Ohnp2lpwtHES0OL0qu5E","name":"Times Square 2 Residences Kuala Lumpur","priceValue":568090,"bedrooms":0,"tenure":"Unknown","locationText":"Times Square 2, KLCC/Bukit Bintang/TRX area, Kuala Lumpur","vpStatus":false,"bumiQuota":false,"foreignEligible":false,"sizeMinSqft":null,"sizeMaxSqft":null,"score":0.6568839044276218},{"projectId":"oWzA0mi4GKdPIsZ4ioYJ","name":"Clouthaus KLCC","priceValue":0,"bedrooms":0,"tenure":"Freehold","locationText":"Jalan Ampang, Menara TA compound, KLCC area, Kuala Lumpur","vpStatus":false,"bumiQuota":false,"foreignEligible":true,"sizeMinSqft":1098,"sizeMaxSqft":2500,"score":0.688788426481208},{"projectId":"cPm26piH01BLSP7QLZkx","name":"The Centrix","priceValue":0,"bedrooms":0,"tenure":"Leasehold 2128","locationText":"Dang Wangi Station, KLCC/Bukit Bintang area, KL Sentral nearby, 900m from KLCC","vpStatus":false,"bumiQuota":false,"foreignEligible":true,"sizeMinSqft":566,"sizeMaxSqft":1187,"score":0.6726633960121898},{"projectId":"sMPvO88kDSUNcJlujNK3","name":"PSQ Pavilion Square","priceValue":0,"bedrooms":0,"tenure":"Leasehold 2122","locationText":"Opposite Pavilion KL Mall, Jalan Bukit Bintang, KLCC/Bukit Bintang area, with direct link bridge to Pavilion KL Mall","vpStatus":false,"bumiQuota":false,"foreignEligible":false,"sizeMinSqft":504,"sizeMaxSqft":1272,"score":0.6496913024564327}]}</t>
        </is>
      </c>
    </row>
    <row r="3" ht="60" customHeight="1">
      <c r="A3" s="19" t="inlineStr">
        <is>
          <t>S-F5</t>
        </is>
      </c>
      <c r="B3" s="20" t="inlineStr">
        <is>
          <t>S-F5</t>
        </is>
      </c>
      <c r="C3" s="19" t="n">
        <v>15.5</v>
      </c>
      <c r="D3" s="20" t="inlineStr">
        <is>
          <t>chat-37fe1333-34b9-4780-bc86-166a93047222</t>
        </is>
      </c>
      <c r="E3" s="24" t="inlineStr">
        <is>
          <t>{"matches":[{"projectId":"QZL9WpMOxZ07JHxSl54P","name":"Tangen Residences","rationale":"Freehold project in North Kiara (Project ID: QZL9WpMOxZ07JHxSl54P) offering 3-bedroom own-stay layouts from 1,033 sqft within Madam Wong's RM800k budget.","matchedCriteria":{"segment":"own_stay","priceMax":800000,"nationality":"malaysian","bumiputera":false,"locationPref":"North Kiara","bedrooms":null},"highlight":"Freehold 3-bedroom units from 1,033 sqft starting at RM659,000","collateral":[{"type":"whatsapp-media","url":"https://firebasestorage.googleapis.com/v0/b/cy-csaiagent.firebasestorage.app/o/collateral%2FQZL9WpMOxZ07JHxSl54P%2Fwhatsapp%2FEH_Tangen_20PP%20Main%20Brochure_FAOL_230829_e-Brochure.pdf?alt=media&amp;token=78413662-34b3-42b8-a5b1-219362d5396d"},{"type":"whatsapp-media","url":"https://firebasestorage.googleapis.com/v0/b/cy-csaiagent.firebasestorage.app/o/collateral%2FQZL9WpMOxZ07JHxSl54P%2Fwhatsapp%2FEH_Tangen_SalesKit_FAQ_26032025.pdf?alt=media&amp;token=6ea2feb8-93c1-4ab9-a6a2-585d3e146211"},{"type":"whatsapp-media","url":"https://firebasestorage.googleapis.com/v0/b/cy-csaiagent.firebasestorage.app/o/collateral%2FQZL9WpMOxZ07JHxSl54P%2Fwhatsapp%2FTangen%20Latest%20Sales%20package%20(with%20furnished%20table)_22052025.pdf?alt=media&amp;token=a0292906-7254-4f1d-a82c-28c1c8d4c011"},{"type":"whatsapp-media","url":"https://firebasestorage.googleapis.com/v0/b/cy-csaiagent.firebasestorage.app/o/collateral%2FQZL9WpMOxZ07JHxSl54P%2Fwhatsapp%2FTangen%20unit%20available%20for%20Foreigner%20Buyer%20as%20at%2031%20Jan%202026.pdf?alt=media&amp;token=073c9a44-f03e-4578-a302-ab889cafb8d2"},{"type":"whatsapp-media","url":"https://firebasestorage.googleapis.com/v0/b/cy-csaiagent.firebasestorage.app/o/collateral%2FQZL9WpMOxZ07JHxSl54P%2Fwhatsapp%2FEH_Tangen_SimplifiedBrochure_EBRO.pdf?alt=media&amp;token=7e32d97a-78bf-4e67-8251-1f14fa72c1cb"},{"type":"whatsapp-media","url":"https://firebasestorage.googleapis.com/v0/b/cy-csaiagent.firebasestorage.app/o/collateral%2FQZL9WpMOxZ07JHxSl54P%2Fwhatsapp%2FBriefing%20on%20eSPA%20_%20eSignature.pdf?alt=media&amp;token=8012b783-7c8e-4de4-8eb2-3e8a0bf787c5"},{"type":"whatsapp-media","url":"https://firebasestorage.googleapis.com/v0/b/cy-csaiagent.firebasestorage.app/o/collateral%2FQZL9WpMOxZ07JHxSl54P%2Fwhatsapp%2FTangen%20Latest%20Sales%20package_24.03.2026.pdf?alt=media&amp;token=c5a0fa48-1717-40da-8c83-745fd2f28d25"},{"type":"whatsapp-media","url":"https://firebasestorage.googleapis.com/v0/b/cy-csaiagent.firebasestorage.app/o/collateral%2FQZL9WpMOxZ07JHxSl54P%2Fwhatsapp%2FTangen-schedule%20of%20payment%20(1).pdf?alt=media&amp;token=a7453656-483f-4adb-8552-1d5755cd0fa0"},{"type":"whatsapp-media","url":"https://firebasestorage.googleapis.com/v0/b/cy-csaiagent.firebasestorage.app/o/collateral%2FQZL9WpMOxZ07JHxSl54P%2Fwhatsapp%2FTangen%20Latest%20Sales%20package_27.11.2025.pdf?alt=media&amp;token=0562864d-158f-4ffd-9554-f934b76890cb"},{"type":"whatsapp-media","url":"https://firebasestorage.googleapis.com/v0/b/cy-csaiagent.firebasestorage.app/o/collateral%2FQZL9WpMOxZ07JHxSl54P%2Fwhatsapp%2FEH_Tangen_20PP%20Main%20Brochure_FAOL_230829_e-Brochure-1.pdf?alt=media&amp;token=d4889aeb-6513-4b92-b327-f1cb207eb6cb"},{"type":"whatsapp-media","url":"https://firebasestorage.googleapis.com/v0/b/cy-csaiagent.firebasestorage.app/o/collateral%2FQZL9WpMOxZ07JHxSl54P%2Fwhatsapp%2FTangen%20Foreigner%20unit%20lists%20as%20at%209%20Mar%202026.pdf?alt=media&amp;token=9d2844b5-3b88-4a72-a2e0-edf99cc943ec"},{"type":"whatsapp-media","url":"https://firebasestorage.googleapis.com/v0/b/cy-csaiagent.firebasestorage.app/o/collateral%2FQZL9WpMOxZ07JHxSl54P%2Fwhatsapp%2FTangen%20SalesKit.pdf?alt=media&amp;token=d4e22a9d-306a-455c-8e2e-beedb0ba4b88"}]},{"projectId":"02F5tLppdnsZhpipbowa","name":"Miranda Hill @ north kiara by BRDB","rationale":"Freehold BRDB development in North Kiara (Project ID: 02F5tLppdnsZhpipbowa) located near Publika Mall, offering premium own-stay living from RM730,250.","matchedCriteria":{"segment":"own_stay","priceMax":800000,"nationality":"malaysian","bumiputera":false,"locationPref":"North Kiara","bedrooms":null},"highlight":"Freehold BRDB development near Publika Mall from RM730,250","collateral":[{"type":"demand-gen","url":"https://drive.google.com/drive/folders/1a6kP05MH8OATRmifYWSxWr_5i4qPtuG-?usp=drive_link"},{"type":"reels","url":"https://drive.google.com/file/d/1vgU2NvgggEhUl9QTBY0diqB10cgYjVsR/view?usp=drive_link"},{"type":"project-info","url":"https://drive.google.com/drive/folders/1ZKKOVjnuNPgQ5kcxiI2HRd5D0pyRiGCJ?usp=sharing"},{"type":"drive","url":"https://drive.google.com/drive/folders/1h-FUHmkjq_bQBc3mlqtR8UJo2z7LLWkJ?usp=sharing"}]}],"rows":[{"projectId":"QZL9WpMOxZ07JHxSl54P","name":"Tangen Residences","priceValue":659000,"bedrooms":3,"tenure":"Freehold","locationText":"Jalan Seri Bintang, Segambut / North Kiara, 5 minutes to Desa ParkCity &amp; Mont Kiara, KL North","vpStatus":false,"bumiQuota":false,"foreignEligible":false,"sizeMinSqft":1033,"sizeMaxSqft":1582,"score":0.7063280918768035},{"projectId":"02F5tLppdnsZhpipbowa","name":"Miranda Hill @ north kiara by BRDB","priceValue":730250,"bedrooms":2,"tenure":"Freehold","locationText":"Jalan Dutamas Melati, North Kiara/Mont Kiara, KL (3 streets from Publika Mall, opposite French School)","vpStatus":false,"bumiQuota":false,"foreignEligible":true,"sizeMinSqft":943,"sizeMaxSqft":3584,"score":0.6979728755045559}]}</t>
        </is>
      </c>
    </row>
    <row r="4" ht="60" customHeight="1">
      <c r="A4" s="19" t="inlineStr">
        <is>
          <t>S-F1</t>
        </is>
      </c>
      <c r="B4" s="20" t="inlineStr">
        <is>
          <t>S-F1</t>
        </is>
      </c>
      <c r="C4" s="19" t="n">
        <v>14.1</v>
      </c>
      <c r="D4" s="20" t="inlineStr">
        <is>
          <t>chat-74756bdb-ddc6-4381-928a-6c0c5ff3ae60</t>
        </is>
      </c>
      <c r="E4" s="24" t="inlineStr">
        <is>
          <t>{"matches":[{"projectId":"vTsTFUTt5BYDltcvqEs2","name":"OAKA Residences, Bukit Jalil","rationale":"OAKA Residences matches Encik Ali's criteria for a non-Bumi Malaysian buyer looking for an own-stay home in Bukit Jalil within the RM800,000 budget. It offers freehold living adjacent to Bukit Jalil Golf Club and 1.5km from Pavilion Bukit Jalil. (Project ID: vTsTFUTt5BYDltcvqEs2)","matchedCriteria":{"segment":"own_stay","priceMax":800000,"nationality":"malaysian","bumiputera":false,"locationPref":"Bukit Jalil","bedrooms":null},"highlight":"Freehold property 1.5km from Pavilion Bukit Jalil, layout sizes from 882 to 1,423 sqft.","collateral":[{"type":"whatsapp-media","url":"https://firebasestorage.googleapis.com/v0/b/cy-csaiagent.firebasestorage.app/o/collateral%2FvTsTFUTt5BYDltcvqEs2%2Fwhatsapp%2FThe%20Queenswoodz%20_%20Bukit%20Jalil%20(Sales%20Kit%20-%20MW).pdf?alt=media&amp;token=75f1bc2a-0e0c-4f73-827e-00a5d302a58f"},{"type":"whatsapp-media","url":"https://firebasestorage.googleapis.com/v0/b/cy-csaiagent.firebasestorage.app/o/collateral%2FvTsTFUTt5BYDltcvqEs2%2Fwhatsapp%2Fmhub-storey_plan-oaka_residences_(tower_b)-20260701152752.pdf?alt=media&amp;token=088440e8-28f9-4e53-b43a-18b52b4061cc"},{"type":"whatsapp-media","url":"https://firebasestorage.googleapis.com/v0/b/cy-csaiagent.firebasestorage.app/o/collateral%2FvTsTFUTt5BYDltcvqEs2%2Fwhatsapp%2Fmhub-storey_plan-oaka_residences_(tower_a)-20260804174648.pdf?alt=media&amp;token=5ce1f0f1-2c36-4132-8a0d-6b0c1998bdb2"},{"type":"whatsapp-media","url":"https://firebasestorage.googleapis.com/v0/b/cy-csaiagent.firebasestorage.app/o/collateral%2FvTsTFUTt5BYDltcvqEs2%2Fwhatsapp%2FPrice%20Chart%20Tower%20B%203.10.2025.pdf?alt=media&amp;token=bc2a0e2b-44bd-4492-8140-b21a5c126549"},{"type":"whatsapp-media","url":"https://firebasestorage.googleapis.com/v0/b/cy-csaiagent.firebasestorage.app/o/collateral%2FvTsTFUTt5BYDltcvqEs2%2Fwhatsapp%2Fmhub-storey_plan-oaka_residences_(tower_a)-20260714092822.pdf?alt=media&amp;token=ba752733-a528-47cc-8c94-265998e5266f"},{"type":"whatsapp-media","url":"https://firebasestorage.googleapis.com/v0/b/cy-csaiagent.firebasestorage.app/o/collateral%2FvTsTFUTt5BYDltcvqEs2%2Fwhatsapp%2Fmhub-storey_plan-oaka_residences_(tower_b)-20260714092940.pdf?alt=media&amp;token=4fdf28e8-2c4e-43ae-aaf2-85b03cc1aa5c"},{"type":"whatsapp-media","url":"https://firebasestorage.googleapis.com/v0/b/cy-csaiagent.firebasestorage.app/o/collateral%2FvTsTFUTt5BYDltcvqEs2%2Fwhatsapp%2FCar%20park%20plan%20(TA%20_%20TB).xlsx?alt=media&amp;token=b4883f5a-3075-4867-86f2-03f5819811f3"},{"type":"whatsapp-media","url":"https://firebasestorage.googleapis.com/v0/b/cy-csaiagent.firebasestorage.app/o/collateral%2FvTsTFUTt5BYDltcvqEs2%2Fwhatsapp%2FOAKA%20Residences%20-%20Stage%20Billing%20Estimate.pdf?alt=media&amp;token=b0c3ddb6-4e8a-45dc-906f-4dad932d5f97"},{"type":"whatsapp-media","url":"https://firebasestorage.googleapis.com/v0/b/cy-csaiagent.firebasestorage.app/o/collateral%2FvTsTFUTt5BYDltcvqEs2%2Fwhatsapp%2Fmhub-storey_plan-oaka_residences_(tower_a)-20251130202803.pdf?alt=media&amp;token=09b270e2-ae0d-432e-9ad5-51f4178c22c0"},{"type":"whatsapp-media","url":"https://firebasestorage.googleapis.com/v0/b/cy-csaiagent.firebasestorage.app/o/collateral%2FvTsTFUTt5BYDltcvqEs2%2Fwhatsapp%2Fmhub-storey_plan-oaka_residences_(tower_b)-20260804174421.pdf?alt=media&amp;token=064c2d34-f595-4377-a0d6-390bb7f663bc"},{"type":"whatsapp-media","url":"https://firebasestorage.googleapis.com/v0/b/cy-csaiagent.firebasestorage.app/o/collateral%2FvTsTFUTt5BYDltcvqEs2%2Fwhatsapp%2Fmhub-storey_plan-oaka_residences_(tower_a)-20260609072627.pdf?alt=media&amp;token=c72af09e-a80e-4acb-b3cd-eaca36d7d687"},{"type":"whatsapp-media","url":"https://firebasestorage.googleapis.com/v0/b/cy-csaiagent.firebasestorage.app/o/collateral%2FvTsTFUTt5BYDltcvqEs2%2Fwhatsapp%2FOaka%20lv11_17%20layout.pdf?alt=media&amp;token=49557635-3c8c-4f30-a5c0-98d777f134db"}]},{"projectId":"gmyjno668zbpf7wEoefH","name":"Exsim Project","rationale":"Includes own-stay developments across Bukit Jalil and KL South. Pricing for specific units is available upon request with D2 sales admin. (Project ID: gmyjno668zbpf7wEoefH)","matchedCriteria":{"segment":"own_stay","priceMax":null,"nationality":"malaysian","bumiputera":false,"locationPref":"Bukit Jalil","bedrooms":null},"highlight":"Multi-location residential portfolio including developments in Bukit Jalil.","collateral":[{"type":"drive","url":"https://drive.google.com/drive/folders/1XiDImvcFanGZ33YE5MObDeaytSQQXNmZ?usp=sharing"},{"type":"drive","url":"https://drive.google.com/drive/folders/1kpdcRaETGcRhQAdAr9wtolqhABgSTqG6?usp=sharing"},{"type":"drive","url":"https://drive.google.com/drive/folders/1aOo8BzvPnC_QTOeRUWjJNz0Pr5U03kiF?usp=sharing"},{"type":"drive","url":"https://drive.google.com/drive/folders/1u65-Cx34gpYlBR8IAQtXy2u3HqWTS_Gz?usp=sharing"},{"type":"drive","url":"https://drive.google.com/drive/folders/19qeT9i1so9Gqzy0MYG-gnZjCihkLjzkL?usp=sharing"},{"type":"drive","url":"https://drive.google.com/drive/folders/1h2BMiAXKekwwvc0jYVkVdqCyo1bWVslt?usp=sharing"},{"type":"drive","url":"https://drive.google.com/drive/folders/1Oj09zcdnUdW6kM1aebL9hcCTMAo-Vw1o?usp=sharing"},{"type":"drive","url":"https://drive.google.com/drive/folders/1TvbeM3OSPcicG6Rn-IKWAVO6sKPO5APh?usp=sharing"},{"type":"drive","url":"https://drive.google.com/drive/folders/1d89oP6n6ciLpLl3g5Y77NNABDdgTm6En?usp=sharing"},{"type":"drive","url":"https://drive.google.com/drive/folders/1z9dBJfCO_PmTS4SOJVErACqs92mty3EA?usp=sharing"},{"type":"drive","url":"https://drive.google.com/drive/folders/1aCsuupQb1OGnSFnCigiWXykpI1f64wvV?usp=sharing"},{"type":"google-doc","url":"https://docs.google.com/document/d/192ettG3kdmrnHu0s1KDPcwjLKRdwOVAI/edit?usp=sharing&amp;ouid=110326026664370972649&amp;rtpof=true&amp;sd=true"}]}],"rows":[{"projectId":"vTsTFUTt5BYDltcvqEs2","name":"OAKA Residences, Bukit Jalil","priceValue":750000,"bedrooms":2,"tenure":"Freehold","locationText":"Jalan Jalil Perkasa, Bukit Jalil, Kuala Lumpur; adjacent to Bukit Jalil Golf Club, 1.5km to Pavilion Bukit Jalil, walkable to esplanade","vpStatus":false,"bumiQuota":false,"foreignEligible":false,"sizeMinSqft":882,"sizeMaxSqft":1423,"score":0.699468597654166},{"projectId":"gmyjno668zbpf7wEoefH","name":"Exsim Project","priceValue":0,"bedrooms":0,"tenure":"Unknown","locationText":"Multiple locations: KL South region including Old Klang Road, Bukit Jalil, Damansara Empire, KL City Centre, KL Metropolis, Bukit Ceylon; also Ipoh and Penang","vpStatus":false,"bumiQuota":false,"foreignEligible":false,"sizeMinSqft":null,"sizeMaxSqft":null,"score":0.6385764819637936}]}</t>
        </is>
      </c>
    </row>
    <row r="5" ht="60" customHeight="1">
      <c r="A5" s="19" t="inlineStr">
        <is>
          <t>S-N2</t>
        </is>
      </c>
      <c r="B5" s="20" t="inlineStr">
        <is>
          <t>S-N2</t>
        </is>
      </c>
      <c r="C5" s="19" t="n">
        <v>15.5</v>
      </c>
      <c r="D5" s="20" t="inlineStr">
        <is>
          <t>chat-7d283dca-1c3d-4330-86d5-45ba99eb2fc6</t>
        </is>
      </c>
      <c r="E5" s="24" t="inlineStr">
        <is>
          <t>{"matches":[{"projectId":"bWOuyI6cNAna1nweLHkC","name":"Parkside Residences","rationale":"Direct match for Mr Lim's RM650k budget in Bangsar, offering own-stay units just 400m from Bangsar LRT station.","matchedCriteria":{"segment":"own_stay","priceMax":650000,"nationality":"malaysian","bumiputera":false,"locationPref":"Bangsar","bedrooms":null},"highlight":"From RM588,000; located 400m from Bangsar LRT station.","collateral":[{"type":"whatsapp-media","url":"https://firebasestorage.googleapis.com/v0/b/cy-csaiagent.firebasestorage.app/o/collateral%2FbWOuyI6cNAna1nweLHkC%2Fwhatsapp%2FSFH_Parkside%20Residences_Brochure%20(31%20Oct%202025).pdf?alt=media&amp;token=d795c7c8-183f-4321-bfe9-669a2ec37c3c"},{"type":"whatsapp-media","url":"https://firebasestorage.googleapis.com/v0/b/cy-csaiagent.firebasestorage.app/o/collateral%2FbWOuyI6cNAna1nweLHkC%2Fwhatsapp%2FParkside%20Availability%20041025.pdf?alt=media&amp;token=ef4671ce-ecf7-45fa-b71e-405cffcc9bcd"},{"type":"whatsapp-media","url":"https://firebasestorage.googleapis.com/v0/b/cy-csaiagent.firebasestorage.app/o/collateral%2FbWOuyI6cNAna1nweLHkC%2Fwhatsapp%2FZEON%20-%20SFH_ParksideResidences_SalesKit%2021112024%20Strictly%20P_C.pdf?alt=media&amp;token=249a26b7-37ed-40ce-abef-62dc6c8f6172"},{"type":"whatsapp-media","url":"https://firebasestorage.googleapis.com/v0/b/cy-csaiagent.firebasestorage.app/o/collateral%2FbWOuyI6cNAna1nweLHkC%2Fwhatsapp%2FViiA%20MASTER-BROCHURE-2020.pdf?alt=media&amp;token=2399e1b4-e4dc-4db4-9326-1ade8476f1fc"},{"type":"whatsapp-media","url":"https://firebasestorage.googleapis.com/v0/b/cy-csaiagent.firebasestorage.app/o/collateral%2FbWOuyI6cNAna1nweLHkC%2Fwhatsapp%2F_P_C_%20SFH%20Parkside%20Residences%20FAQ%20-%20REA%20-%20Copy.pdf?alt=media&amp;token=f106712a-1814-4135-9782-f377c9704d3c"},{"type":"whatsapp-media","url":"https://firebasestorage.googleapis.com/v0/b/cy-csaiagent.firebasestorage.app/o/collateral%2FbWOuyI6cNAna1nweLHkC%2Fwhatsapp%2FParkside%20Availability%20160226.pdf?alt=media&amp;token=1f659455-cc2b-4eb6-8021-c4d02b7a584e"},{"type":"whatsapp-media","url":"https://firebasestorage.googleapis.com/v0/b/cy-csaiagent.firebasestorage.app/o/collateral%2FbWOuyI6cNAna1nweLHkC%2Fwhatsapp%2FCampaign%20brief%20(REA)%20-%20Sign%20_%20Prosper%20and%20Refer%20_%20Reward%202026.pdf?alt=media&amp;token=ce4cf7e7-97d2-4419-a6fa-4dde1dc0dbd1"},{"type":"whatsapp-media","url":"https://firebasestorage.googleapis.com/v0/b/cy-csaiagent.firebasestorage.app/o/collateral%2FbWOuyI6cNAna1nweLHkC%2Fwhatsapp%2FParkside%20NTGs.pdf?alt=media&amp;token=05ee4cb2-2d92-4067-9762-e210a7d44e40"},{"type":"whatsapp-media","url":"https://firebasestorage.googleapis.com/v0/b/cy-csaiagent.firebasestorage.app/o/collateral%2FbWOuyI6cNAna1nweLHkC%2Fwhatsapp%2FParkside%20Residences%20_SFH%20Banker%20Contacts_R2.pdf?alt=media&amp;token=a52d2e50-33ae-4e31-a605-716cdcc490c9"},{"type":"whatsapp-media","url":"https://firebasestorage.googleapis.com/v0/b/cy-csaiagent.firebasestorage.app/o/collateral%2FbWOuyI6cNAna1nweLHkC%2Fwhatsapp%2FParkside%20Availability%20011125.pdf?alt=media&amp;token=99d0fb70-a8a5-42f2-ae79-4484670a0ef3"},{"type":"whatsapp-media","url":"https://firebasestorage.googleapis.com/v0/b/cy-csaiagent.firebasestorage.app/o/collateral%2FbWOuyI6cNAna1nweLHkC%2Fwhatsapp%2FParkside%20OTP%20Form.pdf?alt=media&amp;token=4217d3c5-4ba3-48c5-a4a6-aa351869ce2a"},{"type":"whatsapp-media","url":"https://firebasestorage.googleapis.com/v0/b/cy-csaiagent.firebasestorage.app/o/collateral%2FbWOuyI6cNAna1nweLHkC%2Fwhatsapp%2FParkside%20Availability%20270326.pdf?alt=media&amp;token=3c131479-5712-4808-9c11-9d7708c69051"}]},{"projectId":"jjz7hgG3QG0mY3moUj1V","name":"The Lantern Bangsar","rationale":"Freehold residential project in Bangsar suitable for own-stay consideration, located along Jalan Abdullah.","matchedCriteria":{"segment":"own_stay","priceMax":null,"nationality":"malaysian","bumiputera":false,"locationPref":"Bangsar","bedrooms":null},"highlight":"Freehold residence located along Jalan Abdullah in Bangsar.","collateral":[{"type":"whatsapp-media","url":"https://firebasestorage.googleapis.com/v0/b/cy-csaiagent.firebasestorage.app/o/collateral%2Fjjz7hgG3QG0mY3moUj1V%2Fwhatsapp%2FThe%20Lantern%20-%20FAQ%20(21.10.23).pdf?alt=media&amp;token=fd049106-8ed6-40e8-a1a6-fdf2a408694f"},{"type":"whatsapp-media","url":"https://firebasestorage.googleapis.com/v0/b/cy-csaiagent.firebasestorage.app/o/collateral%2Fjjz7hgG3QG0mY3moUj1V%2Fwhatsapp%2FThe%20Lantern%20-%20Sales%20Kit-8.pdf?alt=media&amp;token=43b4e617-e1b5-443d-93e1-bbe56919c6b3"},{"type":"whatsapp-media","url":"https://firebasestorage.googleapis.com/v0/b/cy-csaiagent.firebasestorage.app/o/collateral%2Fjjz7hgG3QG0mY3moUj1V%2Fwhatsapp%2FLantern%20Bangsar%20Available%20Units%2015%20Jan%202025.pdf?alt=media&amp;token=5821c730-35f8-40cf-901c-068066ad5949"},{"type":"whatsapp-media","url":"https://firebasestorage.googleapis.com/v0/b/cy-csaiagent.firebasestorage.app/o/collateral%2Fjjz7hgG3QG0mY3moUj1V%2Fwhatsapp%2FThe%20Lantern%20-%20Pamphlet%20eBrochure%20(EN).pdf?alt=media&amp;token=0fe72e43-9530-4587-ac9a-84c976e4dcae"},{"type":"whatsapp-media","url":"https://firebasestorage.googleapis.com/v0/b/cy-csaiagent.firebasestorage.app/o/collateral%2Fjjz7hgG3QG0mY3moUj1V%2Fwhatsapp%2F20250419%20l%20Rental%20%20Yield%20update%20(English).pdf?alt=media&amp;token=a3f22889-ab41-4e2d-aa4d-6184c47c6b26"},{"type":"whatsapp-media","url":"https://firebasestorage.googleapis.com/v0/b/cy-csaiagent.firebasestorage.app/o/collateral%2Fjjz7hgG3QG0mY3moUj1V%2Fwhatsapp%2FLantern%20Bangsar%20Available%20Units%2016%20Mar%202025.pdf?alt=media&amp;token=a14a8c1c-0d7e-4a4b-bd39-74d66d3b1246"},{"type":"whatsapp-media","url":"https://firebasestorage.googleapis.com/v0/b/cy-csaiagent.firebasestorage.app/o/collateral%2Fjjz7hgG3QG0mY3moUj1V%2Fwhatsapp%2FBHP_Tower-C_Brochure_July%202023.pdf?alt=media&amp;token=c22556cf-c2fb-43b6-a3b6-3cbb48c49704"},{"type":"whatsapp-media","url":"https://firebasestorage.googleapis.com/v0/b/cy-csaiagent.firebasestorage.app/o/collateral%2Fjjz7hgG3QG0mY3moUj1V%2Fwhatsapp%2FThe%20Lantern%20SG%20Operation%20SOP.pdf?alt=media&amp;token=b971843d-d5bc-4e76-ae8f-1db675593320"},{"type":"whatsapp-media","url":"https://firebasestorage.googleapis.com/v0/b/cy-csaiagent.firebasestorage.app/o/collateral%2Fjjz7hgG3QG0mY3moUj1V%2Fwhatsapp%2FThe%20Lantern%20-%20FAQ%20(23.4.24).pdf?alt=media&amp;token=abde9c4b-e3ab-43b8-af34-f1d2b54e1796"},{"type":"whatsapp-media","url":"https://firebasestorage.googleapis.com/v0/b/cy-csaiagent.firebasestorage.app/o/collateral%2Fjjz7hgG3QG0mY3moUj1V%2Fwhatsapp%2FThe%20Lantern%20-%20Fact%20Sheet.pdf?alt=media&amp;token=791b325b-855f-42e1-a0b0-25fde0da3efd"},{"type":"whatsapp-media","url":"https://firebasestorage.googleapis.com/v0/b/cy-csaiagent.firebasestorage.app/o/collateral%2Fjjz7hgG3QG0mY3moUj1V%2Fwhatsapp%2Fschedule%20H%20(payment%20stages)%20Rev06.xlsx?alt=media&amp;token=29e865ce-f033-435b-a884-465a024135d1"},{"type":"whatsapp-media","url":"https://firebasestorage.googleapis.com/v0/b/cy-csaiagent.firebasestorage.app/o/collateral%2Fjjz7hgG3QG0mY3moUj1V%2Fwhatsapp%2FBank%20Package%20(17.4.2024).pdf?alt=media&amp;token=c3a58979-ba67-4dc5-8c02-4bfae2b93838"}]},{"projectId":"QiQthTM3nC4SqWnST1Q6","name":"Residensi 38 Bangsar","rationale":"Completed residential option in Bangsar conveniently located near the LRT for immediate own-stay needs.","matchedCriteria":{"segment":"own_stay","priceMax":null,"nationality":"malaysian","bumiputera":false,"locationPref":"Bangsar","bedrooms":null},"highlight":"Completed project closest to LRT among new Bangsar developments."}],"rows":[{"projectId":"jjz7hgG3QG0mY3moUj1V","name":"The Lantern Bangsar","priceValue":0,"bedrooms":1,"tenure":"Freehold","locationText":"Jalan Abdullah, Bangsar, Centre of KL","vpStatus":false,"bumiQuota":false,"foreignEligible":true,"sizeMinSqft":561,"sizeMaxSqft":1092,"score":0.7140225159068112},{"projectId":"bWOuyI6cNAna1nweLHkC","name":"Parkside Residences","priceValue":588000,"bedrooms":1,"tenure":"Leasehold 2116","locationText":"Jalan Bangsar, Setia Federal Hill, KL; 400m to Bangsar LRT, near KL Sentral, Mid Valley, Bangsar","vpStatus":false,"bumiQuota":false,"foreignEligible":false,"sizeMinSqft":485,"sizeMaxSqft":1325,"score":0.7069473958897713},{"projectId":"oPwVkDEEesqTZwhsiE9U","name":"Pinnacle Bangsar Residence","priceValue":0,"bedrooms":4,"tenure":"Freehold","locationText":"Jalan Medang Kapas, Bangsar, Centre of KL; upscale neighbourhood near U-Thant","vpStatus":true,"bumiQuota":false,"foreignEligible":false,"sizeMinSqft":4000,"sizeMaxSqft":7942,"score":0.6973056485309963},{"projectId":"QiQthTM3nC4SqWnST1Q6","name":"Residensi 38 Bangsar","priceValue":0,"bedrooms":2,"tenure":"Leasehold 2121","locationText":"Bangsar, Kuala Lumpur; closest to LRT among new Bangsar projects","vpStatus":true,"bumiQuota":false,"foreignEligible":false,"sizeMinSqft":580,"sizeMaxSqft":1442,"score":0.6916989163292596}]}</t>
        </is>
      </c>
    </row>
    <row r="6" ht="60" customHeight="1">
      <c r="A6" s="19" t="inlineStr">
        <is>
          <t>S-F11</t>
        </is>
      </c>
      <c r="B6" s="20" t="inlineStr">
        <is>
          <t>S-F11</t>
        </is>
      </c>
      <c r="C6" s="19" t="n">
        <v>10.2</v>
      </c>
      <c r="D6" s="20" t="inlineStr">
        <is>
          <t>chat-7523e860-f94f-41bd-8ee8-8428f020ea06</t>
        </is>
      </c>
      <c r="E6" s="24" t="inlineStr">
        <is>
          <t>D2 currently has no active projects in Cheras at all, at any price or size.</t>
        </is>
      </c>
    </row>
    <row r="7" ht="60" customHeight="1">
      <c r="A7" s="19" t="inlineStr">
        <is>
          <t>S-F13</t>
        </is>
      </c>
      <c r="B7" s="20" t="inlineStr">
        <is>
          <t>S-F13</t>
        </is>
      </c>
      <c r="C7" s="19" t="n">
        <v>23.9</v>
      </c>
      <c r="D7" s="20" t="inlineStr">
        <is>
          <t>chat-80df0d02-d03a-4a57-86ad-24c13f94bf6b</t>
        </is>
      </c>
      <c r="E7" s="24" t="inlineStr">
        <is>
          <t>### **Bangsar Hill Park Pricing Overview**
**Entry PSF Rate:**  
Bangsar Hill Park starts at **RM900 – RM1,000 psf**.
---
### **Phase 2 (Talisa – Tower C) Price per Layout** [KB:FKVZn71emHqg5wAaWu98]
| Layout | Built-up | Layout Details | List Price Range (RM) | PSF Rate Range |
| :--- | :--- | :--- | :--- | :--- |
| **Type 2B / 2B1** | 917 sqft | 2 rooms, 2 baths | RM 1,114,000 – RM 1,208,000 | RM 1,215 – RM 1,317 psf |
| **Type 2A / 2A1** | 978 sqft | 2+1 rooms, 2 baths | RM 1,123,000 – RM 1,217,000 | RM 1,148 – RM 1,244 psf |
| **Type 3C** | 1,372 sqft | 3+1 rooms, 4 baths (Dual-key ready) | RM 1,562,000 – RM 1,656,000 | RM 1,138 – RM 1,207 psf |
| **Type 3D** | 1,407 sqft | 3+1 rooms, 4 baths (Dual-key ready) | RM 1,648,000 – RM 1,742,000 | RM 1,171 – RM 1,238 psf |
| **Type 3A** | 1,435 sqft | 3+1 rooms, 4 baths (Dual-key ready) | RM 1,568,000 – RM 1,662,000 | RM 1,093 – RM 1,158 psf |
| **Type 3B** | 1,478 sqft | 3+1 rooms, 4 baths (Dual-key ready) | RM 1,655,000 – RM 1,749,000 | RM 1,120 – RM 1,183 psf |
---
### **Additional Pricing Facts**
- **Starting Entry Price:** Units in Tower D &amp; E start from ~RM950,000 onwards [KB:xwmFqnXaIhz01fpP3Kbi].
- **Maintenance Fee:** RM0.39 psf (inclusive of sinking fund).
- **Parking:** 2 tandem car parks included with all units (side-by-side for floors above level 40).
- **Developer Legal Absorption:** SPA &amp; Loan Agreement legal fees, disbursement fees, and foreign consent fees are borne by the developer.</t>
        </is>
      </c>
    </row>
    <row r="8" ht="60" customHeight="1">
      <c r="A8" s="19" t="inlineStr">
        <is>
          <t>P01</t>
        </is>
      </c>
      <c r="B8" s="20" t="inlineStr">
        <is>
          <t>Damansara City Residency (DC Residensi)</t>
        </is>
      </c>
      <c r="C8" s="19" t="n">
        <v>26</v>
      </c>
      <c r="D8" s="20" t="inlineStr">
        <is>
          <t>chat-bad71ce3-72e0-4bb0-a354-a57810a44f7c</t>
        </is>
      </c>
      <c r="E8" s="24" t="inlineStr">
        <is>
          <t>### Damansara City Residency (DC Residensi) — Project Details
**Project ID:** UI9V4ibcLUMuYQkd5lQK
#### Project Overview &amp; Specifications
- **Area:** Damansara Heights / Pusat Bandar Damansara, Kuala Lumpur [KB:CIKranAwbfLVv6G0jnzn]
- **Developer:** Damansara City Sdn Bhd (a subsidiary of GuocoLand Malaysia) [KB:CIKranAwbfLVv6G0jnzn]
- **Land Title:** Commercial (HDA) [KB:CIKranAwbfLVv6G0jnzn]
- **Tenure:** Freehold [KB:CIKranAwbfLVv6G0jnzn]
- **Maintenance Fee:** RM0.65 psf (inclusive of sinking fund) [KB:CIKranAwbfLVv6G0jnzn]
- **Total Units:** 370 units [KB:CIKranAwbfLVv6G0jnzn]
- **Total Floors / Storeys:** 27 Storeys (2 Towers) [KB:CIKranAwbfLVv6G0jnzn]
- **Completion / Vacant Possession Date:** Completed in 2017 — Ready to Move In [KB:CIKranAwbfLVv6G0jnzn]
- **Top Reasons to Buy:** Not on record
- **Furnishing:** Poggenpohl German kitchen cabinetry, Miele / Bosch German appliances, Gessi Emporio Italian sanitary fittings, marble flooring &amp; walnut parquet flooring
- **Car Park Allocation:**
  - 1 Bedroom / 1+1 Bedroom: 1 car park bay
  - 2+1 Bedrooms: 2 car park bays
  - 3+1 Bedrooms: 3 car park bays
  - Penthouses: 5 car park bays
#### Layout Details
| Layout Type | Size | Bedrooms | Nett Price | Gross Price | Status |
|---|---|---|---|---|---|
| **Type S1** | 904 sqft | 1 Bedroom | RM1.20 mil – RM1.35 mil | RM1.75 mil – RM1.80 mil | Available |
| **Type S2** | 904 sqft | 1 Bedroom | RM1.20 mil – RM1.35 mil | RM1.75 mil – RM1.80 mil | Available |
| **Type A1** | 1,163 sqft | 1 Bedroom + 1 | Sold out | Sold out | Sold Out |
| **Type A2** | 1,152 sqft | 1 Bedroom + 1 | Sold out | Sold out | Sold Out |
| **Type A3** | 1,194 sqft | 1 Bedroom + 1 | RM1.36 mil – RM1.46 mil | RM2.00 mil – RM2.10 mil | Available |
| **Type A4** | 1,184 sqft | 1 Bedroom + 1 | Sold out | Sold out | Sold Out |
| **Type A5** | 1,163 sqft | 1 Bedroom + 1 | Sold out | Sold out | Sold Out |
| **Type A6** | 1,152 sqft | 1 Bedroom + 1 | Sold out | Sold out | Sold Out |
| **Type B1** | 1,668 sqft | 2 Bedrooms + 1 | Sold out | Sold out | Sold Out |
| **Type B2** | 1,851 sqft | 2 Bedrooms + 1 + 1 | Sold out | Sold out | Sold Out |
| **Type B3** | 1,862 sqft | 2 Bedrooms + 1 + 1 | Sold out | Sold out | Sold Out |
| **Type B4** | 1,765 sqft | 2 Bedrooms + 1 | Sold out | Sold out | Sold Out |
| **Type B5** | 1,668 sqft | 2 Bedrooms + 1 | Sold out | Sold out | Sold Out |
| **Type B6** | 1,851 sqft | 2 Bedrooms + 1 | Sold out | Sold out | Sold Out |
| **Type B7** | 1,862 sqft | 2 Bedrooms + 1 | Sold out | Sold out | Sold Out |
| **Type C1** | 2,077 sqft | 3 Bedrooms + 1 | Sold out | Sold out | Sold Out |
| **Type E1** | Not confirmed | 3 Bedrooms + 1 + 1 | Sold out | Sold out | Sold Out |
| **Type E2** | 2,982 sqft | 3 Bedrooms + 1 | Not on record | Not on record | Available |</t>
        </is>
      </c>
    </row>
    <row r="9" ht="60" customHeight="1">
      <c r="A9" s="19" t="inlineStr">
        <is>
          <t>P02</t>
        </is>
      </c>
      <c r="B9" s="20" t="inlineStr">
        <is>
          <t>PDH: Imperial Residences RA</t>
        </is>
      </c>
      <c r="C9" s="19" t="n">
        <v>30.1</v>
      </c>
      <c r="D9" s="20" t="inlineStr">
        <is>
          <t>chat-da4483fe-4970-4d5d-99d2-d83d037a6582</t>
        </is>
      </c>
      <c r="E9" s="24" t="inlineStr">
        <is>
          <t>### PDH: Imperial Residences RA — Project Details
#### Layout Details &amp; Pricing
- **Type H1 (North Wing)**: 3,380 sq.ft. | 4+1 Bedrooms | **Nett:** RM5.05 mil – RM7.15 mil | **Gross:** RM5.47 mil – RM7.75 mil [KB:5Dplw17VeIjwSRjP4qlk]
- **Type H1a (South Wing)**: 3,380 sq.ft. | 3+1 Bedrooms + Lanai + 1 Studio (Dual Key) / 4+1 Bedrooms | **Nett:** Not on record (under review) | **Gross:** RM5.17 mil – RM7.15 mil [KB:5Dplw17VeIjwSRjP4qlk, KB:RNU5WPTVmBfkqIxskVDH]
- **Type H2 (North Wing)**: 4,090 sq.ft. | 4+1 Bedrooms | **Nett:** Not on record (under review) | **Gross:** Not on record (under review) [KB:5Dplw17VeIjwSRjP4qlk]
- **Type H2a (South Wing)**: 4,090 sq.ft. | 4+1 Bedrooms | **Nett:** RM6.12 mil – RM8.13 mil | **Gross:** RM6.64 mil – RM8.82 mil [KB:5Dplw17VeIjwSRjP4qlk]
- **Type IR1 (Penthouse)**: 7,459 sq.ft. | 5+1 Bedrooms | **Nett:** RM19.2 mil | **Gross:** RM19.2 mil [KB:5Dplw17VeIjwSRjP4qlk]
*(Note: None of the listed layouts are marked as sold out on record.)*
#### Key Project Facts
- **Area**: Damansara Heights (Pavilion Damansara Heights Phase 2) [KB:5Dplw17VeIjwSRjP4qlk]
- **Developer**: 1 Pavilion Group (Jendela Mayang Sdn Bhd)
- **Land Title**: Commercial (HDA) [KB:5Dplw17VeIjwSRjP4qlk]
- **Maintenance Fee**: Approx. RM0.88 psf (estimated) [KB:5Dplw17VeIjwSRjP4qlk]
- **Tenure**: Freehold
- **Total Units**: 154 exclusive units [KB:z1vcqlYT2Ig6EKDoE116]
- **Total Floors**: Not on record (penthouse floor on levels 46–48, facilities up to level 50) [KB:RNU5WPTVmBfkqIxskVDH]
- **Completion / Vacant Possession Date**: Forecasted 52 months from SPA date / VP Target Q4 2029 [KB:5Dplw17VeIjwSRjP4qlk]
#### Product Features &amp; Allocations
- **Top Reasons to Buy**: 
  - Ultra-low density luxury living (154 exclusive units) [KB:z1vcqlYT2Ig6EKDoE116]
  - Private lift lobbies and lanai for every unit [KB:z1vcqlYT2Ig6EKDoE116, KB:si3yi69ShP3oGdT1W4oA]
  - Dedicated drop-off, grand residents lobby, and on-demand concierge services [KB:z1vcqlYT2Ig6EKDoE116]
- **Furnishing**: Semi-furnished with ducted centralised chilled water air-conditioning, fitted bathrooms, dry kitchen with premium German-branded appliances (Bosch, Smeg, Franke, Kaldewei, Villeroy &amp; Boch), built-in wardrobes, and digital lockset.
- **Car Park Allocation**: 
  - **Type H1 &amp; H1A**: 1 single + 1 tandem bay
  - **Type H2 &amp; H2A**: 2 single + 1 tandem bay
  - **Type IR1 (Penthouse)**: 5 bays</t>
        </is>
      </c>
    </row>
    <row r="10" ht="60" customHeight="1">
      <c r="A10" s="19" t="inlineStr">
        <is>
          <t>P03</t>
        </is>
      </c>
      <c r="B10" s="20" t="inlineStr">
        <is>
          <t>Bangsar Hill Park</t>
        </is>
      </c>
      <c r="C10" s="19" t="n">
        <v>29.7</v>
      </c>
      <c r="D10" s="20" t="inlineStr">
        <is>
          <t>chat-fad27e29-4c79-4a04-b895-52bb3ecdd7c7</t>
        </is>
      </c>
      <c r="E10" s="24" t="inlineStr">
        <is>
          <t>### Bangsar Hill Park — Project Details
#### Layouts &amp; Pricing
* **917 sqft** (2 Bedrooms, 2 Bathrooms) — Nett/Gross Price: **not on record** (Overall rate: RM900 – RM1,000 psf)
* **978 sqft** (2+1 Bedrooms, 2 Bathrooms) — Nett/Gross Price: **not on record** (Overall rate: RM900 – RM1,000 psf)
* **1,372 sqft** (3+1 Bedrooms, 4 Bathrooms, Dual-key ready) — Nett/Gross Price: **not on record** (Overall rate: RM900 – RM1,000 psf)
* **1,407 sqft** (3+1 Bedrooms, 4 Bathrooms, Dual-key ready) — Nett/Gross Price: **not on record** (Overall rate: RM900 – RM1,000 psf)
* **1,435 sqft** (3+1 Bedrooms, 4 Bathrooms, Dual-key ready) — Nett/Gross Price: **not on record** (Overall rate: RM900 – RM1,000 psf)
* **1,478 sqft** (3+1 Bedrooms, 4 Bathrooms, Dual-key ready) — Nett/Gross Price: **not on record** (Overall rate: RM900 – RM1,000 psf)
*Note on Status:* Phase 1 (Verdura – Tower D &amp; E) is **sold out** (only Bumi quota units remaining). Phase 2 (Talisa – Block B &amp; C) is currently available.
---
#### Project Information
* **Area**: Lorong Maarof, Bangsar, Kuala Lumpur
* **Developer**: Bangsar Hill Park Development Sdn Bhd (subsidiary of Suezcap, backed by Suezcap &amp; Sunsuria) [KB:XBHCp1kvUoetYUT3d3Nc], [KB:PBrbN90oa0qVzfMTKm5G]
* **Land Title**: Residential Strata [KB:XBHCp1kvUoetYUT3d3Nc]
* **Tenure**: Leasehold (expiring 2119) [KB:EqU9whEEj5ZXPfN2XSwf]
* **Maintenance Fee**: RM0.39 psf (inclusive of sinking fund) [KB:XBHCp1kvUoetYUT3d3Nc]
* **Total Units**:
  * Phase 1 (Tower D &amp; E): 812 units (406 units per block) [KB:0t17yp97hE6PpK2dtosA]
  * Phase 2 (Talisa): 802 units (Block B: 410 units, Block C: 392 units)
* **Total Floors**:
  * Phase 1 (Tower D &amp; E): 57 storeys [KB:0t17yp97hE6PpK2dtosA]
  * Phase 2: Block B (57 storeys), Block C (55 storeys)
* **Completion / VP Date**:
  * Phase 1: Q2 2025 [KB:0t17yp97hE6PpK2dtosA]
  * Phase 2: Q1 2028
* **Furnishing**: Partially furnished — includes signature kitchen with Electrolux (or equivalent) appliances (2-in-1 washer dryer, hood &amp; hob, oven), full air-conditioning, full bathroom fittings, and digital lock [KB:UJSqTWAuCyf2ql6A6s2Y], [KB:EqU9whEEj5ZXPfN2XSwf]
* **Car Park Allocation**: 2 tandem car parks for all units; 2 side-by-side car parks for units on the 40th floor and above [KB:EqU9whEEj5ZXPfN2XSwf], [KB:PBrbN90oa0qVzfMTKm5G]
---
#### Top Reasons to Buy [KB:0t17yp97hE6PpK2dtosA], [KB:XBHCp1kvUoetYUT3d3Nc], [KB:PBrbN90oa0qVzfMTKm5G]
1. **Prime Location**: Prestigious Bangsar address, just 400m walk to Bangsar LRT station and 450m to Bangsar Village Shopping Mall.
2. **Central Connectivity**: Quick access to major highways (NPE, Federal, Sprint) and major commercial hubs (KLCC, KL Sentral, Mid Valley, Bangsar South).
3. **Resort &amp; Sky Facilities**: Over 280,000 sq ft of resort facilities, plus unique sky facilities per tower (viewing deck, pet garden, sky BBQ, sky Jacuzzi).
4. **Attractive Pricing**: Competitive entry price (RM900–1,000 psf) compared to surrounding new developments in Bangsar.
5. **Concierge Care**: Sunsuria Care nursing concierge and first aid assistance provided on-site.</t>
        </is>
      </c>
    </row>
    <row r="11" ht="60" customHeight="1">
      <c r="A11" s="19" t="inlineStr">
        <is>
          <t>P04</t>
        </is>
      </c>
      <c r="B11" s="20" t="inlineStr">
        <is>
          <t>ViiA Residences</t>
        </is>
      </c>
      <c r="C11" s="19" t="n">
        <v>27.9</v>
      </c>
      <c r="D11" s="20" t="inlineStr">
        <is>
          <t>chat-490d3b1e-ff58-416f-a6a5-ed3da4192d54</t>
        </is>
      </c>
      <c r="E11" s="24" t="inlineStr">
        <is>
          <t>### Details for ViiA Residences (Project ID: vrCj5QcxVPPXoH0wojLb)
#### **Layout Details**
* **Type A5**: 636 sqft | 1 Bedroom, 1 Bathroom | Nett Price: RM877,000 | Gross Price: RM1,350 psf | Status: Available
* **Type A6**: 676 sqft | 1 Bedroom, 1 Bathroom | Nett Price: RM862,000 – RM922,000 | Gross Price: RM1,350 psf | Status: Available
* **Type A2**: 689 sqft | 1 Bedroom, 1 Bathroom | Nett Price: RM903,000 – RM950,000 | Gross Price: RM1,350 psf | Status: Available
* **Type B1**: 782 sqft | 1+1 Bedrooms, 1 Bathroom | Nett Price: RM1,030,000 – RM1,060,000 | Gross Price: RM1,350 psf | Status: Available
* **Type B3**: 797 sqft | 1+1 Bedrooms, 1 Bathroom | Nett Price: RM1,040,000 – RM1,100,000 | Gross Price: RM1,350 psf | Status: Available
#### **Project Key Facts**
* **Area**: KL Eco City, Kuala Lumpur [KB:FrVgEO3kzJw6UimskQ8o]
* **Developer**: S P Setia Berhad [KB:FrVgEO3kzJw6UimskQ8o]
* **Land Title**: Commercial (HDA) [KB:FrVgEO3kzJw6UimskQ8o]
* **Maintenance Fee**: Estimated RM0.35 psf (inclusive of sinking fund) [KB:FrVgEO3kzJw6UimskQ8o][KB:sngwgubNOLWapBmZYdkf]
* **Tenure**: Leasehold [KB:FrVgEO3kzJw6UimskQ8o]
* **Total Units**: 326 units [KB:FrVgEO3kzJw6UimskQ8o]
* **Total Floors**: 40 storeys [KB:FrVgEO3kzJw6UimskQ8o]
* **Completion / VP Date**: Completed September 2021 [KB:FrVgEO3kzJw6UimskQ8o][KB:sngwgubNOLWapBmZYdkf]
* **Car Park Allocation**: 1 parking bay per unit [KB:FrVgEO3kzJw6UimskQ8o]
* **Furnishing**: Not on record
#### **Top Reasons to Buy**
1. **Reputable Branded Developer**: Built by S P Setia Berhad, a top 10 listed developer in Malaysia [KB:FrVgEO3kzJw6UimskQ8o].
2. **Direct Mall &amp; Transit Connectivity**: Covered link bridge to Mid Valley Megamall &amp; The Gardens Mall, integrated with LRT &amp; MRT stations [KB:FrVgEO3kzJw6UimskQ8o][KB:ppdYDhzmthz8qTkcd9Ew].
3. **Prime CBD Address &amp; Connectivity**: Located in KL Eco City with direct access to Federal Highway, NPE, MEX, and 10–15 mins to major CBDs [KB:ppdYDhzmthz8qTkcd9Ew].
4. **Low-Density Living &amp; Exclusive Facilities**: Only 326 residential units featuring rooftop sky infinity pool, gourmet lounge, gym, rock climbing, and wellness facilities [KB:ppdYDhzmthz8qTkcd9Ew].</t>
        </is>
      </c>
    </row>
    <row r="12" ht="60" customHeight="1">
      <c r="A12" s="19" t="inlineStr">
        <is>
          <t>P05</t>
        </is>
      </c>
      <c r="B12" s="20" t="inlineStr">
        <is>
          <t>Enlace Suites @ Pantai Sentral Park</t>
        </is>
      </c>
      <c r="C12" s="19" t="n">
        <v>34.1</v>
      </c>
      <c r="D12" s="20" t="inlineStr">
        <is>
          <t>chat-667b4dae-e15f-4843-894c-bea00f59d5d7</t>
        </is>
      </c>
      <c r="E12" s="24" t="inlineStr">
        <is>
          <t>### Enlace Suites @ Pantai Sentral Park — Project Details
**Project Overview:**
- **Area:** Pantai Sentral Park, Kuala Lumpur (near Bangsar, KL City Centre &amp; Petaling Jaya) [KB:fkIknvBI1Rqt5PlJyBrh]
- **Developer:** Amona Development Sdn Bhd (Joint development with IJM Land – Pantai Sentral Park) [KB:fkIknvBI1Rqt5PlJyBrh]
- **Land Title:** Commercial (Serviced Suites) [KB:fkIknvBI1Rqt5PlJyBrh]
- **Tenure:** Leasehold (99 years, expiring 5 September 2123) [KB:fkIknvBI1Rqt5PlJyBrh]
- **Total Units:** 438 units [KB:Li0Sx6Q32StV6DussgXd, KB:fkIknvBI1Rqt5PlJyBrh]
- **Total Floors:** 41 floors (Levels 8–48 Residential) [KB:fkIknvBI1Rqt5PlJyBrh] / 48 storeys overall [KB:Li0Sx6Q32StV6DussgXd]
- **Completion / Vacant Possession Date:** Estimated September 2029 [KB:uje0pJfrZpyNs4wh7olp, KB:fkIknvBI1Rqt5PlJyBrh]
- **Maintenance Fee:** RM0.50 psf (including sinking fund) [KB:Li0Sx6Q32StV6DussgXd, KB:uje0pJfrZpyNs4wh7olp]
**Layout Breakdown:**
*(Overall project pricing is RM783,600 – RM2,321,800 / from RM1,147 psf onwards [KB:uje0pJfrZpyNs4wh7olp]. Specific nett and gross price breakdowns per layout are **not on record**.)*
- **Type A/A(M)** | Size: 474 sq ft | Bedrooms: Studio (0) | Nett Price: Not on record | Gross Price: Not on record | Status: Available
- **Type B** | Size: 560 sq ft | Bedrooms: 1 | Nett Price: Not on record | Gross Price: Not on record | Status: Available
- **Type C** | Size: 797 sq ft | Bedrooms: 2 | Nett Price: Not on record | Gross Price: Not on record | Status: Available
- **Type D** | Size: 872 sq ft | Bedrooms: 2 (Dual Key) | Nett Price: Not on record | Gross Price: Not on record | Status: Available
- **Type D1** | Size: 872 sq ft | Bedrooms: 2 | Nett Price: Not on record | Gross Price: Not on record | Status: Available
- **Type E/E1** | Size: 1,249 sq ft | Bedrooms: 3 | Nett Price: Not on record | Gross Price: Not on record | Status: Available
- **Type E Garden** | Size: 1,249 sq ft | Bedrooms: 3 | Nett Price: Not on record | Gross Price: Not on record | Status: Available
- **Type G Garden** | Size: 1,302 sq ft | Bedrooms: 3+1 | Nett Price: Not on record | Gross Price: Not on record | Status: Available
- **Type H Garden** | Size: 1,733 sq ft | Bedrooms: 3+2 | Nett Price: Not on record | Gross Price: Not on record | Status: Available
- **Type F** | Size: 1,561 sq ft | Bedrooms: 4+1 | Nett Price: Not on record | Gross Price: Not on record | Status: Available
**Top Reasons to Buy:**
- Part of an integrated 58-acre masterplan bordering the 200-acre Bukit Kerinchi Forest Reserve [KB:taNlcy5RldgfkOvjuq5I]
- Direct elevated access to the upcoming MRT3 Circle Line station [KB:Li0Sx6Q32StV6DussgXd]
- Low-density residential layout (4 to 12 units per floor) [KB:Li0Sx6Q32StV6DussgXd]
- Curated retail space downstairs (Enlace Shoppes featuring Jaya Grocer &amp; Guardian) [KB:Li0Sx6Q32StV6DussgXd]
**Furnishing Package:**
- Partially furnished: Kitchen cabinets (top &amp; bottom), hob &amp; hood, refrigerator, oven, washer &amp; dryer (selected units), air-conditioners, master bedroom wardrobe, digital lockset, water heater system, plaster ceiling, and bathtub (Type F only) [KB:uje0pJfrZpyNs4wh7olp].
**Car Park Allocation:**
- Project total: 1,153 accessory parcel bays, 51 tandem bays, 31 visitor bays, 8 EV charging bays, 12 OKU bays, and 2 car wash bays [KB:uje0pJfrZpyNs4wh7olp]. Per-unit car park allocation is **not on record**.</t>
        </is>
      </c>
    </row>
    <row r="13" ht="60" customHeight="1">
      <c r="A13" s="19" t="inlineStr">
        <is>
          <t>P06</t>
        </is>
      </c>
      <c r="B13" s="20" t="inlineStr">
        <is>
          <t>The Lantern Bangsar</t>
        </is>
      </c>
      <c r="C13" s="19" t="n">
        <v>25.8</v>
      </c>
      <c r="D13" s="20" t="inlineStr">
        <is>
          <t>chat-bc111f02-c0a9-46b6-b949-1e8c3ffe1107</t>
        </is>
      </c>
      <c r="E13" s="24" t="inlineStr">
        <is>
          <t>### The Lantern Bangsar — Project Details
**Overview &amp; Key Facts**
- **Area:** Bangsar (Jalan Abdullah, Bangsar, Kuala Lumpur) [KB:z3EkItmn7uYiXy0Q7AuT]
- **Developer:** CDC (10 years in Malaysia; Taiwan public listed company) [KB:z3EkItmn7uYiXy0Q7AuT], [KB:Mu38hPj7Bu8z3HzkWfQL]
- **Land Title:** Commercial under HDA (for residential use) [KB:fDWuf5Fk0s71l9X3xR1g]
- **Tenure:** Freehold [KB:z3EkItmn7uYiXy0Q7AuT]
- **Total Units:** 180 units (1 block) [KB:z3EkItmn7uYiXy0Q7AuT]
- **Total Floors:** 35 storeys (8 parking levels, L1–L8) [KB:z3EkItmn7uYiXy0Q7AuT]
- **Completion / Vacant Possession Date:** December 2026 [KB:z3EkItmn7uYiXy0Q7AuT]
- **Maintenance Fee:** RM0.715 psf (RM0.65 psf + 10% sinking fund) [KB:z3EkItmn7uYiXy0Q7AuT]
---
**Unit Layouts &amp; Status**
*Note: Overall gross pricing starts from RM1,400 psf. Exact gross and nett ringgit total prices per individual layout are not on record (rebates vary from 3% to 13% based on floor zone). None of the layouts are marked as sold out.* [KB:Mu38hPj7Bu8z3HzkWfQL]
- **Type A1:** 570 sqft | 1 Bedroom, 1 Bathroom | Status: Available | Gross &amp; Nett Price: Not on record
- **Type A2:** 561 sqft | 1 Bedroom | Status: Available | Gross &amp; Nett Price: Not on record
- **Type A:** 570 sqft | 1 Bedroom, 1 Bathroom | Status: Available | Gross &amp; Nett Price: Not on record
- **Type B:** 765 sqft | 2 Bedrooms, 1 Bathroom | Status: Available | Gross &amp; Nett Price: Not on record
- **Type C:** 852 sqft | 2 Bedrooms, 2 Bathrooms | Status: Available | Gross &amp; Nett Price: Not on record
- **Type D:** 1,092 sqft | 2 Bedrooms, 2 Bathrooms + 1 Studio + 1 Bath (Convertible dual-key) | Status: Available | Gross &amp; Nett Price: Not on record
---
**Car Park Allocation** [KB:T6I7wB6mXxnYDXIZeAa9]
- **Type A &amp; Type B:** 1 car park bay
- **Type C:** 1 / 2 / tandem car park bays
- **Type D:** 2 car park bays
---
**Furnishing Package** [KB:T6I7wB6mXxnYDXIZeAa9]
Partly furnished, including:
- Full air-conditioning (Panasonic Inverter with nanoe™ X air purifier)
- Full bathroom fitting (Villeroy &amp; Boch sanitaryware, vanity top, shower screen, mirror)
- Bofi dry kitchen cabinets with quartz countertop, Hafele induction hood &amp; hob
- Engineered timber flooring in bedrooms
- 600x600mm porcelain tiles in living area
- 2.5m tall windows for natural lighting
- Digital door lock
---
**Top Reasons to Buy** [KB:fDWuf5Fk0s71l9X3xR1g], [KB:Mu38hPj7Bu8z3HzkWfQL]
1. **Listed Developer Quality:** Developed by CDC, a Taiwan public listed company with 77 years of experience (builder of Capri Hotel Bukit Bintang with 86% QLASSIC score).
2. **Prime Official Bangsar Address:** Close proximity to 3 major employment hubs: KL Sentral, KL Eco City, and Bangsar South.
3. **Transit Accessibility:** 350m walk to Bangsar LRT Station.
4. **Low Density &amp; Corner Units:** Only 180 units total with Semi-D sky layouts, unblocked views, and 2.5m high windows.</t>
        </is>
      </c>
    </row>
    <row r="14" ht="60" customHeight="1">
      <c r="A14" s="19" t="inlineStr">
        <is>
          <t>P07</t>
        </is>
      </c>
      <c r="B14" s="20" t="inlineStr">
        <is>
          <t>One Eleven Menerung @ Bangsar</t>
        </is>
      </c>
      <c r="C14" s="19" t="n">
        <v>32.9</v>
      </c>
      <c r="D14" s="20" t="inlineStr">
        <is>
          <t>chat-8c1c7b61-324f-4a19-a2e1-b218e40fc211</t>
        </is>
      </c>
      <c r="E14" s="24" t="inlineStr">
        <is>
          <t>Here are the full details for **One Eleven Menerung @ Bangsar** (Project ID: `LS3WGSiybvG85aMdGoVT`):
### Layout Details
- **Type M1** | Size: 1,001 sqft | Bedrooms: 2
  - Nett Price: RM1.92Mil – RM2.28Mil
  - Gross Price: From RM1,960 psf
- **Type M1-A** | Size: 1,012 sqft | Bedrooms: 2
  - Nett Price: RM2.16Mil – RM2.19Mil
  - Gross Price: From RM2,180 psf
- **Type M1-B** | Size: 1,087 sqft | Bedrooms: 2
  - Nett Price: RM2.35Mil
  - Gross Price: RM2,200 psf
- **Type M2** | Size: 1,163 sqft | Bedrooms: 2
  - Nett Price: Sold out
  - Gross Price: Sold out
- **Type M3** | Size: 1,378 sqft | Bedrooms: 2
  - Nett Price: RM2.7Mil
  - Gross Price: From RM2,040 psf
- **Type L** | Size: 3,714 sqft | Bedrooms: 4
  - Nett Price: RM6.4Mil – RM6.6Mil
  - Gross Price: From RM1,760 psf
### Project Specifications &amp; Details
- **Area:** Bangsar (between BSC &amp; Pavilion Damansara Heights, 180m walk to MRT Pavilion Damansara Heights)
- **Developer:** BRDB
- **Land Title:** Not on record
- **Tenure:** Freehold
- **Maintenance Fee:** Not on record
- **Total Units:** 111 exclusive units [KB:FLH7YWVQVYdQV2gHHVKB]
- **Total Floors:** 23 Floors (1 Tower) [KB:FLH7YWVQVYdQV2gHHVKB]
- **Completion Date:** Target Completion Q1 2027 [KB:FLH7YWVQVYdQV2gHHVKB]
### Car Park Allocation [KB:FLH7YWVQVYdQV2gHHVKB]
- **Type M1 (1,001 sqft):** 1 car park
- **Type M2 (1,163 sqft):** 2 car parks
- **Type M3 (1,378 sqft):** 2 car parks
- **Type L (3,714 sqft):** 3 car parks
### Furnishing &amp; Fittings [KB:4ZtyCI1p57XsE7li8CHf]
- Compressed marble flooring in living area
- Engineered timber flooring in all bedrooms
- Ducted split-unit air conditioning (living hall ducted)
- Fully fitted kitchen: cabinets, fridge, oven, hob &amp; hood, 2-in-1 washer dryer (German brands Miele &amp; Bosch) [KB:FLH7YWVQVYdQV2gHHVKB]
- Wardrobes in bedrooms
- Full bathrooms with boiler water heater &amp; Villeroy &amp; Boch sanitary wares
- Digital lock
### Top Reasons to Buy [KB:FLH7YWVQVYdQV2gHHVKB]
1. **Prestigious Master Developer:** Created by BRDB, the developer behind BSC Bangsar Shopping Centre, Serai Bangsar, and One Menerung.
2. **Prime Bangsar Address:** Located in an upscale neighborhood popular among expats and affluent buyers.
3. **Dual Mall Proximity:** 300m walk to Bangsar Shopping Centre (BSC) and short distance to Pavilion Damansara Heights Mall.
4. **Ultra Low Density &amp; Freehold:** Only 111 units total on Freehold land.
5. **High-End Luxury Finishes:** Featuring marble flooring, timber floors, Miele/Bosch kitchen appliances, and Villeroy &amp; Boch bathroom fittings.
6. **Excellent Transit Access:** 180m walk to MRT Pavilion Damansara Heights station (2 stops to KL Sentral, 5 stops to Bukit Bintang, 6 stops to TRX).</t>
        </is>
      </c>
    </row>
    <row r="15" ht="60" customHeight="1">
      <c r="A15" s="19" t="inlineStr">
        <is>
          <t>P08</t>
        </is>
      </c>
      <c r="B15" s="20" t="inlineStr">
        <is>
          <t>Pavilion Damansara Heights</t>
        </is>
      </c>
      <c r="C15" s="19" t="n">
        <v>25.9</v>
      </c>
      <c r="D15" s="20" t="inlineStr">
        <is>
          <t>chat-ca87dfb0-8b42-4f77-94c8-8e9940f01508</t>
        </is>
      </c>
      <c r="E15" s="24" t="inlineStr">
        <is>
          <t>### Pavilion Damansara Heights (Project ID: `hAAy2kb4t5Aigzmv7MPO`)
#### Layouts &amp; Pricing
* **Per-layout size, bedrooms, nett price &amp; gross price table**: Not on record (D2 inventory does not have individual unit layout breakdown table on record for Phase 1; unit sizes range from 605 sqft to 2,803 sqft).
---
#### Project Details &amp; Key Facts
* **Area**: Damansara Heights, Kuala Lumpur (15.92 acres total site area: Phase 1 = 9.57 acres, Phase 2 = 6.35 acres)
* **Developer**: Impian Ekspresi Sdn Bhd (1 Pavilion Group) [KB:B5QzV2j9rYbEMsLHb84f]
* **Land Title**: Commercial Title (Service Apartments) [KB:B5QzV2j9rYbEMsLHb84f]
* **Tenure**: Freehold
* **Maintenance Fee**: R1 &amp; R2: RM0.92 psf | R3: RM0.87 psf (inclusive of sinking fund)
* **Total Units**: 1,314 residential units across 3 blocks:
  * **Windsor**: 568 units (614 – 1,831 sqft)
  * **Regent**: 582 units (605 – 1,878 sqft)
  * **Crown**: 165 units (2,303 &amp; 2,803 sqft)
* **Total Floors**: Not on record
* **Completion / VP Date**: Handover early 2025 (VP Date: January 2025)
* **Furnishing**: Semi-furnished
* **Car Park Allocation**:
  * Units below 1,300 sqft: 1 car park
  * Units 1,400 – 1,878 sqft: 1 tandem car park
  * Units 2,303 sqft: 1 tandem + 1 single car park
  * Units 2,803 sqft: 3 single car parks
---
#### Top Reasons to Buy
1. **Rare Freehold Integrated Mixed Development**: Rare 15.92-acre luxury township in Damansara Heights [KB:Q1lkEO7cL5ia7re90JQe].
2. **Prime Location &amp; Prestige**: Situated in Damansara Heights, KL's premier luxury residential enclave [KB:Q1lkEO7cL5ia7re90JQe].
3. **Renowned Pavilion Brand**: Premium benchmark quality from Pavilion Group [KB:Q1lkEO7cL5ia7re90JQe].
4. **4-in-1 Convenience &amp; Direct MRT Access**: Integrated development combining residences, corporate office towers, luxury hotel, and direct MRT connectivity [KB:Q1lkEO7cL5ia7re90JQe].
5. **1 Million Sqft Retail Mall Below**: Direct lift access to over 500 retail stores, dining, and lifestyle amenities [KB:Q1lkEO7cL5ia7re90JQe].</t>
        </is>
      </c>
    </row>
    <row r="16" ht="60" customHeight="1">
      <c r="A16" s="19" t="inlineStr">
        <is>
          <t>P09</t>
        </is>
      </c>
      <c r="B16" s="20" t="inlineStr">
        <is>
          <t>PDH: Royal Suites(RC)</t>
        </is>
      </c>
      <c r="C16" s="19" t="n">
        <v>29</v>
      </c>
      <c r="D16" s="20" t="inlineStr">
        <is>
          <t>chat-80211e6f-e979-47bf-9b03-90c421028f93</t>
        </is>
      </c>
      <c r="E16" s="24" t="inlineStr">
        <is>
          <t>### Pavilion Damansara Heights: Royal Suites (RC) — Detailed Summary
#### Layouts
- **Type S1**: 452 sqft | Suite | Gross Price: Not on record | Nett Price: Not on record | Sold Out: Not on record
- **Type S2**: 538 sqft | Suite | Gross Price: Not on record | Nett Price: Not on record | Sold Out: Not on record
- **Type J1**: 635 sqft | 1+1 Bedrooms | Gross Price: Not on record | Nett Price: Not on record | Sold Out: Not on record
- **Type J2**: 753 sqft | 1+1 Bedrooms | Gross Price: Not on record | Nett Price: Not on record | Sold Out: Not on record
- **Type J3**: 743 sqft | 2 Bedrooms | Gross Price: Not on record | Nett Price: Not on record | Sold Out: Not on record
- **Type J4**: 850 sqft | 1+1 Bedrooms | Gross Price: Not on record | Nett Price: Not on record | Sold Out: Not on record
- **Type M1**: 1,119 sqft | 2+1 Bedrooms | Gross Price: Not on record | Nett Price: Not on record | Sold Out: Not on record
- **Type M2**: 1,550 sqft | 3+1 Bedrooms | Gross Price: Not on record | Nett Price: Not on record | Sold Out: Not on record
- **Type DK1**: 1,302 sqft | Dual Key | Gross Price: Not on record | Nett Price: Not on record | Sold Out: Not on record
- **Type DK2**: 1,679 sqft | Dual Key | Gross Price: Not on record | Nett Price: Not on record | Sold Out: Not on record
*(Note: Individual layout pricing and unit-by-unit sold-out statuses are not on record in the system. Please check with D2 sales admin for the real-time unit availability sheet).* 
#### Project Information
- **Area**: Damansara Heights [KB:pGJBu3xWUrLOi2NhL8ci]
- **Developer**: Jendela Mayang Sdn Bhd (Pavilion Group) [KB:pGJBu3xWUrLOi2NhL8ci]
- **Land Title**: Commercial under HDA [KB:pGJBu3xWUrLOi2NhL8ci]
- **Tenure**: Freehold [KB:pGJBu3xWUrLOi2NhL8ci]
- **Maintenance Fee**: Est. RM0.99 psf (inclusive of sinking fund) [KB:pGJBu3xWUrLOi2NhL8ci]
- **Total Units**: 490 units [KB:pGJBu3xWUrLOi2NhL8ci]
- **Total Floors**: 51 storeys [KB:pGJBu3xWUrLOi2NhL8ci]
- **Expected Completion / Vacant Possession**: Planned for 2029 (52 months from SPA) [KB:pGJBu3xWUrLOi2NhL8ci] [KB:bexYwjeFRq46r7E4pkoA]
#### Highlights &amp; Features
- **Top Reasons to Buy**:
  - Closest residential tower directly connected to Pavilion Damansara Heights MRT Station [KB:wyCTJTp8GNU4LXI1wYwu]
  - Situated in the prestigious Damansara Heights neighborhood integrated with an iconic mall, hotel, and MRT [KB:bexYwjeFRq46r7E4pkoA]
  - Two exclusive facilities floors featuring a Heated Lap Pool, Social Sphere, Games/Recreation Room, and Function Room [KB:wyCTJTp8GNU4LXI1wYwu]
  - On-demand Concierge Services [KB:wyCTJTp8GNU4LXI1wYwu]
- **Furnishing**: Partially furnished — includes digital door lock, centralized air conditioning, kitchen cabinets, Bosch hood &amp; hob, Smeg fridge, built-in oven, Bosch washer cum dryer, bathroom fittings, storage water heater, built-in wardrobes, compressed marble flooring (living), and engineered timber flooring (bedrooms) [KB:pGJBu3xWUrLOi2NhL8ci]
- **Car Park Allocation** [KB:bexYwjeFRq46r7E4pkoA]:
  - Type M2 (3+1 Bedrooms): 2 bays (1 tandem)
  - Type DK1 &amp; DK2 (Dual Key): 2 single bays
  - All other types (&lt;1,300 sqft): 1 single bay</t>
        </is>
      </c>
    </row>
    <row r="17" ht="60" customHeight="1">
      <c r="A17" s="19" t="inlineStr">
        <is>
          <t>P10</t>
        </is>
      </c>
      <c r="B17" s="20" t="inlineStr">
        <is>
          <t>Pinnacle Bangsar Residence</t>
        </is>
      </c>
      <c r="C17" s="19" t="n">
        <v>31</v>
      </c>
      <c r="D17" s="20" t="inlineStr">
        <is>
          <t>chat-fce0b195-7585-4b24-ba8c-7529b78a2a44</t>
        </is>
      </c>
      <c r="E17" s="24" t="inlineStr">
        <is>
          <t>Here are the project details for **Pinnacle Bangsar Residence** (Project ID: `oPwVkDEEesqTZwhsiE9U`):
### Layout Details
*Note: Total gross and nett unit prices are not on record; pricing is provided on a PSF package basis [KB:SfybPFYqGBNQaVKQe6S8].*
* **Type A1 (Simplex)**
  * **Size:** 4,677 sq ft
  * **Bedrooms:** 4+1 rooms
  * **Nett Price:** Not on record
  * **Gross Price:** Not on record
  * **Status:** Available
* **Type A2 (Simplex)**
  * **Size:** 4,718 sq ft
  * **Bedrooms:** 4+1 rooms
  * **Nett Price:** Not on record
  * **Gross Price:** Not on record
  * **Status:** Available
* **Type B1 (Duplex)**
  * **Size:** 7,942 sq ft
  * **Bedrooms:** 6+1 rooms
  * **Nett Price:** Not on record
  * **Gross Price:** Not on record
  * **Status:** Available
---
### Project Specifications &amp; Details
* **Area:** Bangsar (Jalan Medang Kapas, Bangsar) [KB:0wEHxV8AFCXJp3WLEtv3]
* **Developer:** Pinnacle Homes Group of Companies [KB:0wEHxV8AFCXJp3WLEtv3]
* **Land Title:** Not on record
* **Maintenance Fee:** RM0.38 psf (inclusive of sinking fund) [KB:0wEHxV8AFCXJp3WLEtv3, KB:GyUCoecftaF9UvRRBr0z]
* **Tenure:** Freehold [KB:0wEHxV8AFCXJp3WLEtv3]
* **Total Units:** 18 units (8 simplex, 8 duplex, 2 triplex) [KB:0wEHxV8AFCXJp3WLEtv3, KB:4Y9SStbif31Y7u3vljxv]
* **Total Floors:** 49 storeys [KB:0wEHxV8AFCXJp3WLEtv3]
* **Completion / Vacant Possession Date:** 2022 (Completed / Build and sell concept) [KB:0wEHxV8AFCXJp3WLEtv3, KB:4Y9SStbif31Y7u3vljxv]
---
### Furnishing Packages [KB:SfybPFYqGBNQaVKQe6S8]
* **Package A (Bare Unit):** ~RM1,100 psf
* **Package B (With Finishes):** Flooring, ceiling, AC grille &amp; ducting (~RM1,200 psf)
* **Package C (With Built-ins):** Kitchen, wardrobes, bed frames (~RM1,300 psf)
---
### Car Park Allocation [KB:4Y9SStbif31Y7u3vljxv]
* **Simplex (Types A1 &amp; A2):** 3 car parks per unit
* **Duplex (Types B1 &amp; B2):** 5 car parks per unit
* **Triplex (Types C1 &amp; C2):** 6 car parks per unit
* **Total Car Park Bays:** 79 lots (includes 4 visitor lots) [KB:SfybPFYqGBNQaVKQe6S8, KB:GyUCoecftaF9UvRRBr0z]
---
### Top Reasons to Buy
1. **Prime Hilltop Location:** Situated atop a hill in the upscale Bangsar neighbourhood, favoured by expats and affluent individuals [KB:SfybPFYqGBNQaVKQe6S8].
2. **Exclusivity Redefined:** Low-density boutique development offering only 18 ultra-luxury couture homes for maximum privacy [KB:SfybPFYqGBNQaVKQe6S8].
3. **Luxurious Finishes:** High-quality marble flooring in living areas, timber flooring in bedrooms, and luxury sanitary fittings by Villeroy &amp; Boch [KB:RyPKcjN6yy1C4YwRKFg6].
4. **Generous Living Space:** Substantial layouts starting above 4,000 sq ft, ideal for large family living [KB:RyPKcjN6yy1C4YwRKFg6].</t>
        </is>
      </c>
    </row>
    <row r="18" ht="60" customHeight="1">
      <c r="A18" s="19" t="inlineStr">
        <is>
          <t>P11</t>
        </is>
      </c>
      <c r="B18" s="20" t="inlineStr">
        <is>
          <t>Parkside Residences</t>
        </is>
      </c>
      <c r="C18" s="19" t="n">
        <v>34.7</v>
      </c>
      <c r="D18" s="20" t="inlineStr">
        <is>
          <t>chat-080951e4-a2d3-4f37-9785-8959aa50ec7e</t>
        </is>
      </c>
      <c r="E18" s="24" t="inlineStr">
        <is>
          <t>### Project Details: Parkside Residences
- **Area / Location**: Jalan Bangsar, Setia Federal Hill, 59200 Kuala Lumpur (400m covered walkway to Bangsar LRT, near KL Sentral &amp; Mid Valley)
- **Developer**: Setia M S SFH Development Sdn Bhd (JV of SP Setia &amp; Mitsui Fudosan) [KB:U0LC1UsFCO2FhmxsHtTr]
- **Land Title**: Commercial under HDA (Serviced Residence) [KB:U0LC1UsFCO2FhmxsHtTr]
- **Tenure**: Leasehold till 2116 (developer attempting renewal for 95–99 years at VP) [KB:U0LC1UsFCO2FhmxsHtTr]
- **Maintenance Fee**: Est. RM0.50 psf [KB:150CQpFGGil4I5zTRyut]
- **Total Units**: 693 residential units + 6 retail lots (not for sale) [KB:150CQpFGGil4I5zTRyut]
- **Total Floors**: 62 storeys [KB:U0LC1UsFCO2FhmxsHtTr]
- **Completion / Vacant Possession**: Q1 2030 (58 months in SPA) [KB:150CQpFGGil4I5zTRyut]
---
### Layout Summary
| Layout | Size | Bedrooms | Nett Price | Gross Price | Availability |
|---|---|---|---|---|---|
| **Type A** | 485 sqft | 1 flexi room, 1 bath | RM588,000 – RM760,000 | ~RM1,200 psf | Available [KB:150CQpFGGil4I5zTRyut] |
| **Type B** | 689 sqft | 1 bedroom, 2 baths | RM770,000 – RM860,000 | ~RM1,200 psf | Available [KB:150CQpFGGil4I5zTRyut] |
| **Type C1** | 646 sqft | 2 bedrooms, 2 baths | RM780,000 – RM840,000 | ~RM1,300 psf | Available [KB:150CQpFGGil4I5zTRyut] |
| **Type C2** | 732 sqft | 2 bedrooms, 2 baths | RM815,000 – RM860,000 | ~RM1,200 psf | Available [KB:150CQpFGGil4I5zTRyut] |
| **Type D1** | 872 sqft | 2+1 bedrooms, 2 baths | RM1,090,000 – RM1,100,000 | ~RM1,250 psf | Available [KB:150CQpFGGil4I5zTRyut] |
| **Type D2** | 926 sqft | 2+1 bedrooms, 2 baths, 1 balcony | RM1,180,000 – RM1,200,000 | ~RM1,300 psf | Available [KB:150CQpFGGil4I5zTRyut] |
| **Type D3** | 1,012 sqft | 2+1 bedrooms, 2 baths | RM1,250,000 – RM1,340,000 | ~RM1,300 psf | Available [KB:150CQpFGGil4I5zTRyut] |
| **Type E1** | 1,260 sqft | 3 bedrooms, 2 baths, 1 balcony | Not on record (TBC) | Not on record (TBC) | Available [KB:150CQpFGGil4I5zTRyut] |
| **Type E2** | 1,325 sqft | 3 bedrooms, 2 baths, 1 balcony | RM1,600,000 – RM1,700,000 | ~RM1,300 psf | Available |
---
### Car Park Allocation &amp; Furnishing
- **Car Park Allocation**: 1 parking space for 1 &amp; 2-bedroom units; 2 parking spaces for 3-bedroom units [KB:U0LC1UsFCO2FhmxsHtTr]. (EV charging stations available on B1 [KB:U0LC1UsFCO2FhmxsHtTr]).
- **Furnishing**: Semi-furnished package including full air-conditioning, digital lock, full kitchen cabinets with Bosch fridge, hood &amp; induction hob, built-in master room wardrobe, and fully fitted bathrooms (Villeroy &amp; Boch / American Standard sanitaryware, vanity top, mirror, and built-in hot water system).
---
### Top Reasons to Buy
1. **Prime Connectivity &amp; Address**: Located in Setia Federal Hill next to Bangsar and KL Central, with a 400m covered walkway direct to Bangsar LRT station.
2. **Parkfront Living**: Direct integration with a 5-acre central park plus 3 dedicated facility levels (Level 8 Parkside Retreat, Level 43 Pocket Gardens, Level 61 &amp; 62 Sky Lounge/Garden).
3. **Reputable Developers**: Joint venture between Malaysia's SP Setia and Japan's largest developer, Mitsui Fudosan [KB:U0LC1UsFCO2FhmxsHtTr].
4. **Smart &amp; Future-Ready Design**: Features speed-ramp parking access, face/fingerprint security access, EV charging bays, and non-Airbnb commercial title under HDA for quiet community living [KB:w0LXcks8IRu3TmhBPGbT].
5. **High Investment Potential**: Strong rental demand driven by proximity to KL Sentral hub and Mid Valley, coupled with masterplan capital appreciation potential.</t>
        </is>
      </c>
    </row>
    <row r="19" ht="60" customHeight="1">
      <c r="A19" s="19" t="inlineStr">
        <is>
          <t>P12</t>
        </is>
      </c>
      <c r="B19" s="20" t="inlineStr">
        <is>
          <t>Rhombus</t>
        </is>
      </c>
      <c r="C19" s="19" t="n">
        <v>28.5</v>
      </c>
      <c r="D19" s="20" t="inlineStr">
        <is>
          <t>chat-8a669d8d-bf33-48d0-9b1b-5657697ed759</t>
        </is>
      </c>
      <c r="E19" s="24" t="inlineStr">
        <is>
          <t>### Rhombus (Project ID: eGsxriHHrJTsyX9nCHNc)
#### Layouts &amp; Pricing
* **Layout Table**: There is no per-layout unit table on record in the database.
* **Size**: 3,700 – 3,800 sqft (2 main layout types based on balcony size) [KB:EJlKTBJNaJMI2zy6KIb0].
* **Bedrooms**: 4+1 bedrooms (all 4 main bedrooms are en-suite) [KB:lECEiopeRC1IGudnABnb].
* **Pricing**:
  - Level 1 to Level 3: RM6,100,000 [KB:inQXUQNvyh0q1AdwYhs7]
  - Level 3A: RM6,150,000 [KB:inQXUQNvyh0q1AdwYhs7]
  - Gross Price vs. Nett Price breakdown: **Not on record**
* **Availability / Sold-Out Status**: Level 1 to Level 4 are available; Level 5 and above are all taken / sold out [KB:EJlKTBJNaJMI2zy6KIb0].
#### Property Details
* **Area**: Bangsar, Kuala Lumpur [KB:EJlKTBJNaJMI2zy6KIb0]
* **Developer**: Benéton Properties Sdn Bhd [KB:EJlKTBJNaJMI2zy6KIb0]
* **Tenure**: Freehold Residential [KB:EJlKTBJNaJMI2zy6KIb0]
* **Land Title**: Freehold Residential [KB:EJlKTBJNaJMI2zy6KIb0] *(Strata title is not out yet [KB:FXDSZ7pnzUtEMd5boFQk])*
* **Maintenance Fee**: RM0.70 psf [KB:EJlKTBJNaJMI2zy6KIb0]
* **Total Units**: 25 units [KB:EJlKTBJNaJMI2zy6KIb0]
* **Total Floors**: **Not on record**
* **Completion / Vacant Possession Date**: Completed in 2014 (~12 years completed) [KB:EJlKTBJNaJMI2zy6KIb0]
* **Furnishing**: Partially furnished (Even floors feature light theme; Odd floors feature dark theme) [KB:EJlKTBJNaJMI2zy6KIb0]
* **Car Park Allocation**: 3 car parks per unit (some tandem configuration), with 1 EV charging provision per unit [KB:EJlKTBJNaJMI2zy6KIb0]
* **Top Reasons to Buy**: **Not on record** *(Official developer promotional key highlights are missing; please check with D2 sales admin)*</t>
        </is>
      </c>
    </row>
    <row r="20" ht="60" customHeight="1">
      <c r="A20" s="19" t="inlineStr">
        <is>
          <t>P13</t>
        </is>
      </c>
      <c r="B20" s="20" t="inlineStr">
        <is>
          <t>Riana Trees Residences</t>
        </is>
      </c>
      <c r="C20" s="19" t="n">
        <v>21.9</v>
      </c>
      <c r="D20" s="20" t="inlineStr">
        <is>
          <t>chat-c3aef02b-7b91-4ebb-845c-1159a83477b6</t>
        </is>
      </c>
      <c r="E20" s="24" t="inlineStr">
        <is>
          <t>Here are the details for **Riana Trees Residences** (Project ID: `DxbnSBKiLX5934ds64PR`):
### Layout Breakdown
- **Type A (Intermediate)**:
  - **Size**: 900 sq ft
  - **Bedrooms**: 3 Bedrooms / 2 Bathrooms
  - **Gross Price**: From RM628,000 (project starting price; layout-specific breakdown not on record)
  - **Nett Price**: Not on record
  - **Status**: Available
- **Type B (Corner Lot)**:
  - **Size**: 955 sq ft
  - **Bedrooms**: 3 Bedrooms / 2 Bathrooms
  - **Gross Price**: From RM628,000 (project starting price; layout-specific breakdown not on record)
  - **Nett Price**: Not on record
  - **Status**: Available
### Project Specifications &amp; Details
- **Area**: Pantai Sentral Park, Kuala Lumpur
- **Developer**: Amona Development Sdn Bhd (Joint development with IJM Land – Pantai Sentral Park)
- **Land Title**: Residential (under HDA)
- **Maintenance Fee**: RM0.35 psf + 10% sinking fund [KB:5y4Iy7Yc3DZLDQBuLoMN]
- **Tenure**: Leasehold
- **Total Units**: 336 units
- **Total Floors**: 33 floors (Level 3A to 32 residential) [KB:Q1IvCZrywEQzcEsFaHcu]
- **Completion / Vacant Possession Date**: Not on record
- **Furnishing**: Not on record
- **Car Park Allocation**: 2 car park bays per unit [KB:5y4Iy7Yc3DZLDQBuLoMN]
### Key Highlights / Top Reasons to Buy
1. **Low Density**: Only 336 units across 3.36 acres (100 units per acre) [KB:5y4Iy7Yc3DZLDQBuLoMN].
2. **Prime Township Location**: Situated within the 58-acre Pantai Sentral Park, adjacent to Bangsar South with direct access via NPE highway [KB:5y4Iy7Yc3DZLDQBuLoMN].
3. **Forest &amp; City Sanctuary**: Direct views of the forest reserve (South West) or KL city skyline [KB:5y4Iy7Yc3DZLDQBuLoMN] [KB:Q1IvCZrywEQzcEsFaHcu].
4. **Transit Connectivity**: Proposed pedestrian linkage to the upcoming MRT3 Circle Line station [KB:Q1IvCZrywEQzcEsFaHcu].</t>
        </is>
      </c>
    </row>
    <row r="21" ht="60" customHeight="1">
      <c r="A21" s="19" t="inlineStr">
        <is>
          <t>P14</t>
        </is>
      </c>
      <c r="B21" s="20" t="inlineStr">
        <is>
          <t>Residensi 38 Bangsar</t>
        </is>
      </c>
      <c r="C21" s="19" t="n">
        <v>40.9</v>
      </c>
      <c r="D21" s="20" t="inlineStr">
        <is>
          <t>chat-c1c5d6cf-fe60-4f8d-a585-f23d43a20bc9</t>
        </is>
      </c>
      <c r="E21" s="24" t="inlineStr">
        <is>
          <t>Here are the project details for **Residensi 38 Bangsar** [Project ID: `QiQthTM3nC4SqWnST1Q6`]:
### Layout Breakdown
- **Type A1**: 580 sqft | 1 Bathroom [KB:KZNavI3j40YTFFHTa2iz] | **Sold Out** (Nett Price: Sold out | Gross Price: Sold out)
- **Type A2**: 720 sqft | Studio / 1 Bathroom [KB:KZNavI3j40YTFFHTa2iz] | Bedrooms: Not on record | Nett Price: Not on record | Gross Price: Not on record
- **Type A3**: 635 sqft | Studio / 1 Bathroom [KB:KZNavI3j40YTFFHTa2iz] | Bedrooms: Not on record | Nett Price: Not on record | Gross Price: Not on record
- **Type B**: 1,045 sqft | 3 Bedrooms, 2 Bathrooms [KB:KZNavI3j40YTFFHTa2iz] | Nett Price: Not on record | Gross Price: Not on record
- **Type C**: 965 sqft | 2 Bedrooms, 2 Bathrooms [KB:KZNavI3j40YTFFHTa2iz] | Nett Price: Not on record | Gross Price: Not on record
- **Type C1**: 960 sqft | 3 Bedrooms, 2 Bathrooms [KB:KZNavI3j40YTFFHTa2iz] | Nett Price: Not on record | Gross Price: Not on record
- **Type D**: 1,185 sqft | 2 Bedrooms, 2 Bathrooms [KB:KZNavI3j40YTFFHTa2iz] | Nett Price: Not on record | Gross Price: Not on record
- **Type E**: 1,442 sqft | 3 Bedrooms, 3 Bathrooms (Dual Key) [KB:KZNavI3j40YTFFHTa2iz] | Nett Price: Not on record | Gross Price: Not on record
- **Type F**: 1,225 sqft | 3 Bedrooms, 3 Bathrooms (Dual Key) [KB:KZNavI3j40YTFFHTa2iz] | Nett Price: Not on record | Gross Price: Not on record
*(Note: Specific total lump-sum prices per layout are not on record; overall pricing is based on ~RM970 psf nett with a 25% SPA rebate [KB:9y6Ze1dOE5YpG1Y0K1Rd, KB:ERmt8Ezgyvreco31e3Ml]).*
---
### Project Specifications
- **Area**: Bangsar, Kuala Lumpur [KB:KZNavI3j40YTFFHTa2iz]
- **Developer**: ONE JSI Development Sdn Bhd
- **Land Title**: Commercial Title (Service Apartment) [KB:KZNavI3j40YTFFHTa2iz]
- **Maintenance Fee**: RM0.50 psf (includes sinking fund) [KB:ERmt8Ezgyvreco31e3Ml, KB:KZNavI3j40YTFFHTa2iz]
- **Tenure**: Leasehold 2121 / 2122 (Refreshed 99-year leasehold) [KB:9y6Ze1dOE5YpG1Y0K1Rd]
- **Total Units**: 281 units (278 residential units + 3 shoplots) [KB:KZNavI3j40YTFFHTa2iz]
- **Total Floors**: 38 storeys [KB:ERmt8Ezgyvreco31e3Ml, KB:KZNavI3j40YTFFHTa2iz]
- **Completion / VP Date**: September 2025 (est. handover Q3 2025) [KB:9y6Ze1dOE5YpG1Y0K1Rd]
- **Top Reasons to Buy**:
  1. Prime address in affluent Bangsar [KB:KZNavI3j40YTFFHTa2iz].
  2. 300m walk to Bank Rakyat Bangsar LRT station (closest among new Bangsar projects; 1 stop to KL Sentral, 6 stops to KLCC) [KB:9y6Ze1dOE5YpG1Y0K1Rd, KB:KZNavI3j40YTFFHTa2iz].
  3. 600m to Bangsar Village Shopping Mall &amp; commercial hub [KB:KZNavI3j40YTFFHTa2iz].
  4. Competitive pricing (~RM970 psf nett after 25% SPA rebate, with potential bank cashback) [KB:9y6Ze1dOE5YpG1Y0K1Rd, KB:ERmt8Ezgyvreco31e3Ml].
  5. Low density development (278 residential units on 1.16 acres) [KB:ERmt8Ezgyvreco31e3Ml, KB:KZNavI3j40YTFFHTa2iz].
- **Furnishing**: Full air-conditioning (ducted in living hall, split units in bedrooms), full kitchen, Villeroy &amp; Boch bathroom sanitaryware [KB:9y6Ze1dOE5YpG1Y0K1Rd, KB:ERmt8Ezgyvreco31e3Ml].
- **Car Park Allocation**:
  - Smaller units (Type A1, A2, A3, B, C, C1): 1 car park [KB:9y6Ze1dOE5YpG1Y0K1Rd, KB:KZNavI3j40YTFFHTa2iz]
  - Type D (1,185 sqft): 1 car park or Tandem [KB:KZNavI3j40YTFFHTa2iz]
  - Larger units (Type E &amp; F): 2 car parks (side-by-side) [KB:ERmt8Ezgyvreco31e3Ml, KB:KZNavI3j40YTFFHTa2iz]</t>
        </is>
      </c>
    </row>
    <row r="22" ht="60" customHeight="1">
      <c r="A22" s="19" t="inlineStr">
        <is>
          <t>P15</t>
        </is>
      </c>
      <c r="B22" s="20" t="inlineStr">
        <is>
          <t>Lunar Seputeh</t>
        </is>
      </c>
      <c r="C22" s="19" t="n">
        <v>42</v>
      </c>
      <c r="D22" s="20" t="inlineStr">
        <is>
          <t>chat-88605a03-e05c-4b75-92ad-7affa1810b79</t>
        </is>
      </c>
      <c r="E22" s="24" t="inlineStr">
        <is>
          <t>### **Lunar Seputeh — Project Details**
#### **Project Overview**
- **Area:** Seputeh (Jalan Telok Datok, Off Jalan Klang Lama, Kuala Lumpur) [KB:NEsZFznN5W1yR6ORoGa1]
- **Developer:** MRCB Seputeh Land Sdn Bhd (subsidiary of MRCB) [KB:NEsZFznN5W1yR6ORoGa1]
- **Land Title:** Residential [KB:vUKaK1fxUdWIYje0xnlI]
- **Tenure:** Leasehold 99 years (expiring 11 May 2113) [KB:vUKaK1fxUdWIYje0xnlI]
- **Total Units:** 483 units [KB:vUKaK1fxUdWIYje0xnlI]
- **Total Floors:** 50 storeys [KB:vUKaK1fxUdWIYje0xnlI]
- **Completion / Vacant Possession Date:** Q4 2030 [KB:vUKaK1fxUdWIYje0xnlI]
- **Maintenance Fee:** Not on record (TBC) [KB:vUKaK1fxUdWIYje0xnlI]
- **Furnishing:** Not on record
---
#### **Layouts, Pricing &amp; Car Park Allocation**
| Layout | Size | Bedrooms | Price Range (SPA) | Nett Price | Gross Price | Status | Car Park Allocation |
| :--- | :--- | :--- | :--- | :--- | :--- | :--- | :--- |
| **Type A** | 683 sqft | 1+1 bed, 1 bath | RM607,800 – RM643,800 | Not on record | Not on record | Available | 1 car park [KB:vUKaK1fxUdWIYje0xnlI] |
| **Type B1 / B1A** | 841 sqft | 2 bed, 2 bath | RM752,800 – RM795,800 | Not on record | Not on record | Available | 2 car parks [KB:vUKaK1fxUdWIYje0xnlI] |
| **Type B2** | 930 sqft | 3 bed, 2 bath | RM845,800 – RM875,800 | Not on record | Not on record | Available | 2 car parks [KB:vUKaK1fxUdWIYje0xnlI] |
| **Type C1** | 1,280 sqft | 3 bed, 3+1 bath (Dual Key) | RM1,112,800 – RM1,158,800 | Not on record | Not on record | Available | 3 car parks [KB:vUKaK1fxUdWIYje0xnlI] |
| **Type C2 / C2A** | 1,280 sqft | 3 bed, 3+1 bath | RM1,101,800 – RM1,140,800 | Not on record | Not on record | Available | 3 car parks [KB:vUKaK1fxUdWIYje0xnlI] |
| **Type D** | 1,646 sqft | 4+1 bed, 4+1 bath | RM1,416,800 – RM1,453,800 | Not on record | Not on record | Available | 3 car parks [KB:vUKaK1fxUdWIYje0xnlI] |
*Note: Specific individual nett and gross prices per unit/layout are not on record (sales package rebate on record: 8% upon SPA signing + 2% upon Stage 2A).* 
---
#### **Top Reasons to Buy** [KB:FE6V2N2FD3vsEecZuzeO]
1. **Affluent Neighbourhoods:** Surrounded by Mid Valley, Seputeh, Taman Desa, Bangsar, and Bangsar South.
2. **1km Riverside Park &amp; Promenade Boulevard:** Direct access to linear parkland for outdoor activity.
3. **Strategic Location:** Near Mid Valley Megamall, Gardens, Bangsar South, and KL Eco City.
4. **Direct Highway Connectivity:** Dedicated access to NPE Highway, connecting to Federal Highway and Sg Besi.
5. **Low Density Living:** 483 units across 2.32 acres (208 units/acre).
6. **Spacious Family Layouts:** Ranging up to 1,646 sqft, ideal for families and own-stay buyers.
7. **Rich Facilities:** 75 types of lifestyle facilities across multiple levels.
8. **Pet-Friendly Environment:** Includes DBKL-compliant rules and a designated 'Paw Haven' at Level 12.</t>
        </is>
      </c>
    </row>
    <row r="23" ht="60" customHeight="1">
      <c r="A23" s="19" t="inlineStr">
        <is>
          <t>P16</t>
        </is>
      </c>
      <c r="B23" s="20" t="inlineStr">
        <is>
          <t>Sentral Suites @ KL Sentral</t>
        </is>
      </c>
      <c r="C23" s="19" t="n">
        <v>34.9</v>
      </c>
      <c r="D23" s="20" t="inlineStr">
        <is>
          <t>chat-32f4268b-ac1e-4711-8f2e-bf937400ccc0</t>
        </is>
      </c>
      <c r="E23" s="24" t="inlineStr">
        <is>
          <t>### Sentral Suites @ KL Sentral — Project Details
#### Layout Specs &amp; Pricing Breakdown
- **Per-Layout Table (Nett &amp; Gross Prices / Sold-Out Status)**: **Not on record**. Specific unit-by-unit nett/gross pricing and layout availability status are not stored in the D2 system.
- **Overall Price Range by Tower**: [KB:7ydiY1QJjv4Z10yrb6X4]
  - **Tower 1**: RM 728,800 – RM 1,299,800
  - **Tower 2**: RM 841,800 – RM 1,572,800
  - **Tower 3**: RM 804,800 – RM 1,367,800
  - **Rebate Structure**: 25% rebate off SPA price (Nett Price = SPA Price – 25%).
- **Known Built-up Sizes &amp; Car Park Allocations**: [KB:7ydiY1QJjv4Z10yrb6X4]
  - **Type A (650 sq ft, 1 Bed)**: 1, 2, or Tandem bays
  - **Type A1 (653 sq ft, 1 Bed)**: 1 or 2 bays
  - **Type Corner A (724 sq ft)**: 1, 2, or Tandem bays
  - **Type Corner A1 (765 sq ft)**: 1, 2, or Tandem bays
  - **Type B / B1 / B2 (812–868 sq ft, 2 Bed / 2+Study)**: 1 or 2 bays [KB:HTa0JFgLnAfAT1IbO59V]
  - **Type Corner C (1,025 sq ft, 3 Bed)**: 2 bays [KB:HTa0JFgLnAfAT1IbO59V]
  - **Type C (1,138 sq ft) &amp; Type Corner D (1,166 sq ft)**: 2 bays
#### Property Summary
- **Area**: KL Sentral (opposite Menara Shell) [KB:7A0IhjLXTFwJ7yPx3aKg]
- **Developer**: MRCB (Master Developer of KL Sentral) [KB:7A0IhjLXTFwJ7yPx3aKg]
- **Land Title**: Commercial under HDA (Housing Development Act) [KB:7A0IhjLXTFwJ7yPx3aKg]
- **Tenure**: Leasehold 99 Years (expiring 25 Sept 2115) [KB:7ydiY1QJjv4Z10yrb6X4]
- **Maintenance Fee**: RM0.55 psf (inclusive of sinking fund) [KB:7A0IhjLXTFwJ7yPx3aKg]
- **Total Units**: 1,434 units (Tower 1: 458, Tower 2: 458, Tower 3: 518) [KB:7ydiY1QJjv4Z10yrb6X4]
- **Total Floors**: 43 storeys per tower
- **Completion / Vacant Possession Date**: Completed [KB:7A0IhjLXTFwJ7yPx3aKg]
- **Furnishing Package**: Partly furnished (air-conditioners throughout, Signature Kitchen top &amp; bottom cabinets, hood &amp; hob, 2-in-1 washer dryer, built-in water heaters &amp; shower screens in bathrooms).
#### Top Reasons to Buy [KB:7A0IhjLXTFwJ7yPx3aKg]
1. **ASEAN Transport Hub**: Direct access to 10 train lines linking 180 stations (MRT, LRT, KTM, ERL, Monorail) serving over 200,000 daily commuters.
2. **72-Acre Master Township**: Integrated environment with 21 corporate towers, 5 luxury hotels, Nu Sentral shopping mall, and residential towers.
3. **KL's 2nd Largest CBD**: Surrounded by MNC regional headquarters including Google, Facebook, Shell, Allianz, and Cisco.
4. **High Rental Yields**: Proven demand from corporate expats yielding RM3,000–RM5,000/month (~5% rental returns).
5. **Limited Small Unit Supply**: 600–1,000 sq ft layouts are exceptionally rare within KL Sentral.
6. **Last Residential Land Plot**: Final residential project within the 72-acre KL Sentral development.
7. **Surrounded by Affluent Neighborhoods**: Adjacent to Bangsar, Damansara Heights, Seputeh, and PJ.
8. **Central Connectivity**: Rapid access by road or rail across Klang Valley.</t>
        </is>
      </c>
    </row>
    <row r="24" ht="60" customHeight="1">
      <c r="A24" s="19" t="inlineStr">
        <is>
          <t>P17</t>
        </is>
      </c>
      <c r="B24" s="20" t="inlineStr">
        <is>
          <t>The Cedar Damansara Heights</t>
        </is>
      </c>
      <c r="C24" s="19" t="n">
        <v>28</v>
      </c>
      <c r="D24" s="20" t="inlineStr">
        <is>
          <t>chat-384f37bf-dac6-4564-96ee-daf150517cd8</t>
        </is>
      </c>
      <c r="E24" s="24" t="inlineStr">
        <is>
          <t>### Project Details: The Cedar Damansara Heights (Project ID: tnWxI6GSEzsMM7uXaZT6)
* **Area**: Jalan Setia Kasih, Damansara Heights [KB:LNelxiKkRtb7DEtWq7Tq]
* **Developer**: Satin Magic Sdn Bhd (Datuk Jagan Sabapathy, previously from BRDB) / Managed by Tribeca Real Estate Management Sdn Bhd [KB:LNelxiKkRtb7DEtWq7Tq]
* **Land Title**: Strata Title Freehold [KB:ZYBAFkwHC8cjOi5IHcLf]
* **Tenure**: Freehold [KB:LNelxiKkRtb7DEtWq7Tq]
* **Total Units**: 70 units [KB:LNelxiKkRtb7DEtWq7Tq]
* **Total Floors**: Not on record
* **Completion / Vacant Possession Date**: Q3 2025 [KB:ZYBAFkwHC8cjOi5IHcLf] [KB:JoXhwpB6qRaq9D1HS0gA]
* **Maintenance Fee**: Starting from RM0.66 psf + 10% sinking fund [KB:ZYBAFkwHC8cjOi5IHcLf]
* **Car Park Allocation**: 3 to 9 parking slots (depending on unit type); each unit includes 1 AC EV Charger [KB:ZYBAFkwHC8cjOi5IHcLf]
* **Furnishing**: Fitted unit specifications on record (Schmalenbach wardrobes, Leicht wet kitchen &amp; Bosch appliances, Siematic dry kitchen &amp; Wolf/Miele/Liebherr appliances, VRV centralised AC, Dorn Bracht faucets, Kohler WC, Claybrook sink/bathtub) [KB:ZYBAFkwHC8cjOi5IHcLf]. Full furnishings status is not on record.
* **Top Reasons to Buy**: Not on record
---
### Layout Details [KB:LNelxiKkRtb7DEtWq7Tq]
* **Type A1**: 3,461 sq ft | 3+1 Bedrooms | Gross Price: Not on record | Nett Price: Not on record | Sold Out: Not on record
* **Type A2**: 3,554 sq ft | 3+1 Bedrooms | Gross Price: Not on record | Nett Price: Not on record | Sold Out: Not on record
* **Type A**: 7,169 sq ft | 4+1 Bedrooms | Gross Price: RM14,796,816 (Level 5 before discount) [KB:LNelxiKkRtb7DEtWq7Tq] | Nett Price: Not on record | Sold Out: Not on record
* **Type B1**: 4,852 sq ft | 4+1 Bedrooms | Gross Price: RM9,262,468 (Level 1) / RM9,398,324 (Level 2) [KB:LNelxiKkRtb7DEtWq7Tq] | Nett Price: Not on record | Sold Out: Not on record
* **Type B2**: 3,516 sq ft | 4+1 Bedrooms | Gross Price: Not on record | Nett Price: Not on record | Sold Out: Not on record
* **Type B**: 5,958 sq ft | 4+1 Bedrooms | Gross Price: Not on record | Nett Price: Not on record | Sold Out: Not on record
* **Type C1**: 4,692 sq ft | 4+1 Bedrooms | Gross Price: Not on record | Nett Price: Not on record | Sold Out: Not on record
* **Type C2**: 2,782 sq ft | 2+1 Bedrooms | Gross Price: Not on record | Nett Price: Not on record | Sold Out: Not on record
* **Type C**: 5,208 sq ft | 3+1 Bedrooms | Gross Price: Not on record | Nett Price: Not on record | Sold Out: Not on record
* **Type D**: 7,560 sq ft | 4+1 Bedrooms | Gross Price: Not on record | Nett Price: Not on record | Sold Out: Not on record
* **Type E**: 5,275 sq ft | 4+1 Bedrooms | Gross Price: Not on record | Nett Price: Not on record | Sold Out: Not on record</t>
        </is>
      </c>
    </row>
    <row r="25" ht="60" customHeight="1">
      <c r="A25" s="19" t="inlineStr">
        <is>
          <t>P18</t>
        </is>
      </c>
      <c r="B25" s="20" t="inlineStr">
        <is>
          <t>Tria Seputeh</t>
        </is>
      </c>
      <c r="C25" s="19" t="n">
        <v>30</v>
      </c>
      <c r="D25" s="20" t="inlineStr">
        <is>
          <t>chat-cffd01af-ed3b-4e08-a177-522a285e5cf9</t>
        </is>
      </c>
      <c r="E25" s="24" t="inlineStr">
        <is>
          <t>Here are the details for **Tria Seputeh** (Project ID: `jteTdbwfGjCtZiwAJDa5`):
### Project Overview
- **Area:** Seputeh (border of Old Klang Road &amp; Seputeh, 650m to Mid Valley) [KB:mbS09fhOtat1MX2UHfQR] [KB:F1y40tqWrAqmN6hdzChl]
- **Developer:** MRCB (MRCB Seputeh Land Sdn Bhd) [KB:mbS09fhOtat1MX2UHfQR] [KB:n7kwnHcmftO5XOYKJ4uu]
- **Land Title:** Not on record
- **Tenure:** Leasehold (till 2113) [KB:mbS09fhOtat1MX2UHfQR]
- **Maintenance Fee:** RM0.40 psf (inclusive of sinking fund) [KB:mbS09fhOtat1MX2UHfQR] [KB:vNefeC2OHC5Q6JnChyGk]
- **Total Units:** 734 units across 3 towers (Pelto: 343 units, Ebon: 145 units, Cavi: 229 units [KB:n7kwnHcmftO5XOYKJ4uu], River/Park Villa: 17 units)
- **Total Floors:** Pelto: 38 storeys, Ebon: 33 storeys, Cavi: 33 storeys
- **Completion / Vacant Possession Date:** Completed (Q2 2023 / May 2023) [KB:mbS09fhOtat1MX2UHfQR] [KB:n7kwnHcmftO5XOYKJ4uu]
- **Top Reasons to Buy:** Not on record
- **Car Park Allocation:** Not on record
- **Furnishing:** Provided with standard door height, floor finishes, window glass, air conditioning, sanitary fittings, water heater, kitchen cabinet, and kitchen appliances.
---
### Layout Details
*Overall Project Price Range on Record:* RM650,560 – RM3,433,040 [KB:n7kwnHcmftO5XOYKJ4uu]
| Layout Type | Built-up Size | Bedrooms | Nett Price | Gross Price | Status |
| :--- | :--- | :--- | :--- | :--- | :--- |
| **Type X5 &amp; X4** | 764 &amp; 797 sqft | 2 bedrooms | Not on record | Not on record | Not on record |
| **Type X2, X1 &amp; X3** | 958 &amp; 1,001 sqft | 2+1 or 3 bedrooms | Not on record | Not on record | Not on record |
| **Type Y3** | 1,496 sqft | 3+1 bedrooms | Not on record | Not on record | Not on record |
| **Type Y1** | 1,518 sqft | 3+1 bedrooms | Not on record | Not on record | Not on record |
| **Type Y2** | 1,647 sqft | 3+1 bedrooms | Not on record | Not on record | Not on record |
| **Type Z1** | 1,733 sqft | 4+1 bedrooms | Not on record | Not on record | Not on record |
| **Type Z2** | 1,911 sqft | 3+1 bedrooms | Not on record | Not on record | Not on record |
| **Type Z3** | 2,013 sqft | 4+1 bedrooms | Not on record | Not on record | Not on record |
| **Type Z4** | 2,874 sqft | 4+1 bedrooms | Not on record | Not on record | Not on record |
| **Sky Villa** | 3,025 – 4,080 sqft | Various | Not on record | Not on record | Not on record |
| **River Villa** | 1,948 – 4,521 sqft | Various | Not on record | Not on record | Not on record |</t>
        </is>
      </c>
    </row>
    <row r="26" ht="60" customHeight="1">
      <c r="A26" s="19" t="inlineStr">
        <is>
          <t>P19</t>
        </is>
      </c>
      <c r="B26" s="20" t="inlineStr">
        <is>
          <t>d'Brightton titiwangsa</t>
        </is>
      </c>
      <c r="C26" s="19" t="n">
        <v>27.9</v>
      </c>
      <c r="D26" s="20" t="inlineStr">
        <is>
          <t>chat-126d00ef-90d4-47ec-87b4-1b9176e9b9bd</t>
        </is>
      </c>
      <c r="E26" s="24" t="inlineStr">
        <is>
          <t>### **d'Brightton Titiwangsa — Project Details**
#### **Layout Details &amp; Pricing**
* **1,044 sqft**
  * **Bedrooms:** 3 rooms, 2 baths (1 balcony, Genting Hill view) [KB:M4wpeUP95oJGUkqqeMBk]
  * **Car Park Allocation:** 2 car parks [KB:M4wpeUP95oJGUkqqeMBk]
  * **Price:** From ~RM 550,000 [KB:M4wpeUP95oJGUkqqeMBk] *(Separate Gross vs. Nett price breakdown: Not on record)*
  * **Status:** Available
* **1,076 sqft**
  * **Bedrooms:** 3 rooms, 2 baths (2 balconies, KLCC / Taman Tasik Titiwangsa view) [KB:Ltj74wJaDZa2Tdr5U9pf]
  * **Car Park Allocation:** 2 car parks [KB:Ltj74wJaDZa2Tdr5U9pf]
  * **Price:** From ~RM 600,000 [KB:Ltj74wJaDZa2Tdr5U9pf] *(Separate Gross vs. Nett price breakdown: Not on record)*
  * **Status:** Available
* **1,194 sqft**
  * **Bedrooms:** Not on record
  * **Car Park Allocation:** Not on record
  * **Price:** Not on record
  * **Status:** **SOLD OUT**
* **1,313 / 1,324 sqft (Dual Key)**
  * **Bedrooms:** 3 rooms, 2 baths [KB:Ltj74wJaDZa2Tdr5U9pf]
  * **Car Park Allocation:** 3 car parks [KB:Ltj74wJaDZa2Tdr5U9pf]
  * **Price:** Previously listed at ~RM 720,000 [KB:Ltj74wJaDZa2Tdr5U9pf] *(Separate Gross vs. Nett price breakdown: Not on record)*
  * **Status:** **SOLD OUT**
* **Penthouse (2,163 – 2,400 sqft)**
  * **Bedrooms:** Not on record
  * **Car Park Allocation:** Not on record
  * **Price:** Previously listed at RM 1.23M – RM 1.35M [KB:Ltj74wJaDZa2Tdr5U9pf] *(Separate Gross vs. Nett price breakdown: Not on record)*
  * **Status:** **SOLD OUT** [KB:Ltj74wJaDZa2Tdr5U9pf]
* **Villa (3-Storey, 2,900 sqft)**
  * **Bedrooms:** Not on record
  * **Car Park Allocation:** Not on record
  * **Price:** Previously listed at RM 1.5M *(Separate Gross vs. Nett price breakdown: Not on record)*
  * **Status:** **SOLD OUT**
---
#### **Project Specifications**
* **Area:** Jalan Tiara Titiwangsa, KL East (surrounded by landed houses &amp; bungalows) [KB:M4wpeUP95oJGUkqqeMBk]
* **Developer:** GSD Land [KB:M4wpeUP95oJGUkqqeMBk]
* **Land Title:** Residential Title [KB:M4wpeUP95oJGUkqqeMBk]
* **Maintenance Fee:** RM 0.33 psf (inclusive of sinking fund) [KB:M4wpeUP95oJGUkqqeMBk]
* **Tenure:** Leasehold (till 2113) [KB:M4wpeUP95oJGUkqqeMBk]
* **Total Units:** 766 units (720 high-rise units, 46 villa units) [KB:M4wpeUP95oJGUkqqeMBk]
* **Total Floors:** Not on record
* **Completion / Vacant Possession Date:** Q4 2024 / VP completed [KB:M4wpeUP95oJGUkqqeMBk]
* **Furnishing:** Not on record
* **Car Park Allocation:** 2 to 3 car parks per unit depending on layout (detailed above) [KB:M4wpeUP95oJGUkqqeMBk, KB:Ltj74wJaDZa2Tdr5U9pf]
---
#### **Top Reasons to Buy**
1. **Expansive Land &amp; Facilities:** Built on 7.66 acres with 3.5–3.8 acres dedicated to 5-level resort-style facilities [KB:M4wpeUP95oJGUkqqeMBk].
2. **Low Density Living:** Only 100 units/acre, with 18 units per floor served by 7 lifts [KB:M4wpeUP95oJGUkqqeMBk].
3. **Generous Ceiling Heights &amp; Scenic Views:** High ceilings (10.7 ft) with panoramic views facing KLCC, Taman Tasik Titiwangsa, Titiwangsa Golf, or Genting Highlands [KB:M4wpeUP95oJGUkqqeMBk].
4. **Competitive Value:** Pure Residential Title starting from ~RM 550+ psf in a calm, low-density bungalow area close to KL CBD [KB:M4wpeUP95oJGUkqqeMBk, KB:GWs5uzPQ5600MqHXNslx].</t>
        </is>
      </c>
    </row>
    <row r="27" ht="60" customHeight="1">
      <c r="A27" s="19" t="inlineStr">
        <is>
          <t>P20</t>
        </is>
      </c>
      <c r="B27" s="20" t="inlineStr">
        <is>
          <t>IJM Sierra Hijauan</t>
        </is>
      </c>
      <c r="C27" s="19" t="n">
        <v>21</v>
      </c>
      <c r="D27" s="20" t="inlineStr">
        <is>
          <t>chat-ff8d028f-a72e-418c-8418-3e4fdae5e64a</t>
        </is>
      </c>
      <c r="E27" s="24" t="inlineStr">
        <is>
          <t>Here are the details for **IJM Sierra Hijauan** (Project ID: `ejqnuGroAIARB2czRshR`):
### Project Overview
- **Area:** Ukay Perdana / Sierra Ukay, Ampang, Selangor [KB:xDAu3otjbk2PIreFSX0s]
- **Developer:** Sierra Ukay Sdn Bhd (subsidiary of IJM Berhad) [KB:xDAu3otjbk2PIreFSX0s]
- **Land Title:** Residential [KB:xDAu3otjbk2PIreFSX0s]
- **Tenure:** Leasehold (expiring 2114) [KB:xDAu3otjbk2PIreFSX0s]
- **Total Units:** 310 landed units [KB:xDAu3otjbk2PIreFSX0s]
- **Total Floors:** Not on record
- **Completion / Vacant Possession Date:** End of 2025 (for Phase 2E &amp; Phase 2H) [KB:xDAu3otjbk2PIreFSX0s]
- **Maintenance Fee:** TBC (previously RM0.20 psf × land area) [KB:xDAu3otjbk2PIreFSX0s]
- **Furnishing:** Basic bare unit with lighting and aircon points provided [KB:Thiwoomi4HjYIbgkhHqK]
- **Car Park Allocation:** Not on record
- **Top Reasons to Buy:** Not on record (official sales kit highlight list not provided)
---
### Layouts &amp; Pricing
*Note: Structured per-layout unit tables (exact square footage, bedroom breakdown per layout, exact gross price, and exact nett price) are **not on record** in the D2 system. The available phase and dimension details are summarized below:*
- **Phase Status:**
  - Phase 2B (Semi-Ds): Completed [KB:HD78nOe5vpZYqHT69a8i]
  - Phase 2C (50 units): **Sold Out** [KB:HD78nOe5vpZYqHT69a8i]
  - Phase 2D (80 units): **Sold Out** [KB:HD78nOe5vpZYqHT69a8i]
  - Phase 2E (24 Semi-Ds + 1 Bungalow): Available [KB:HD78nOe5vpZYqHT69a8i]
  - Phase 2H (60 Linked Houses): Available [KB:HD78nOe5vpZYqHT69a8i]
- **Dimensions &amp; Estimated Pricing:**
  - **Linked Villas:** Dimensions 24' × 60', 22' × 72.5', and 22' × 75' — Estimated price around RM1.3 million [KB:HD78nOe5vpZYqHT69a8i]
  - **Semi-Detached:** Dimensions 40' × 80' — Estimated price around RM2.2 million [KB:HD78nOe5vpZYqHT69a8i]
  - **Bungalow:** 1 unit in Phase 2E [KB:HD78nOe5vpZYqHT69a8i]
  - **Nett Price / Gross Price Breakdown:** Not on record</t>
        </is>
      </c>
    </row>
    <row r="28" ht="60" customHeight="1">
      <c r="A28" s="19" t="inlineStr">
        <is>
          <t>P21</t>
        </is>
      </c>
      <c r="B28" s="20" t="inlineStr">
        <is>
          <t>Puncak Wangsamas Phase 2</t>
        </is>
      </c>
      <c r="C28" s="19" t="n">
        <v>41.8</v>
      </c>
      <c r="D28" s="20" t="inlineStr">
        <is>
          <t>chat-ad2ed2a0-0ebd-4890-bcb7-cebd2d564afd</t>
        </is>
      </c>
      <c r="E28" s="24" t="inlineStr">
        <is>
          <t>### Puncak Wangsamas Phase 2 (Project ID: eZlYoYQ0Y8Mhk48IwCw7)
#### Layout Details
- **Type A1**
  - **Size**: Built-up 3,899 sqft | Land Area 4,101 – 8,181 sqft [KB:Xw4FOvvyaOxKoQzCIuHW]
  - **Bedrooms**: 5+1 Bedrooms, 6 Bathrooms + 1 Powder Room [KB:sTkiMAcg1U7rk3g0uAOm]
  - **Nett Price**: RM4.6m – RM5.0m [KB:sTkiMAcg1U7rk3g0uAOm]
  - **Gross Price**: RM4,700,000 – RM5,786,000 [KB:Xw4FOvvyaOxKoQzCIuHW]
  - **Status**: Available (Phase 2)
- **Type A2**
  - **Size**: Built-up 4,109 sqft | Land Area 3,326 – 4,510 sqft [KB:Xw4FOvvyaOxKoQzCIuHW]
  - **Bedrooms**: 5+1 Bedrooms, 6 Bathrooms + 1 Powder Room [KB:sTkiMAcg1U7rk3g0uAOm]
  - **Nett Price**: RM3.3m – RM3.4m [KB:sTkiMAcg1U7rk3g0uAOm]
  - **Gross Price**: RM3,495,000 – RM4,200,000 [KB:Xw4FOvvyaOxKoQzCIuHW]
  - **Status**: Available (Phase 2)
- **Type A4**
  - **Size**: Built-up 4,728 sqft | Land Area 3,326 – 6,060 sqft [KB:Xw4FOvvyaOxKoQzCIuHW]
  - **Bedrooms**: 5+1 Bedrooms, 6 Bathrooms + 1 Powder Room [KB:sTkiMAcg1U7rk3g0uAOm]
  - **Nett Price**: RM3.2m – RM4.2m [KB:sTkiMAcg1U7rk3g0uAOm]
  - **Gross Price**: RM3,656,000 – RM4,803,000 [KB:Xw4FOvvyaOxKoQzCIuHW]
  - **Status**: Available (Phase 2)
*(Note: Phase 1 of 30 units is fully sold out [KB:Xw4FOvvyaOxKoQzCIuHW]).*
#### Project Details
- **Area**: Bukit Wangsamas, Wangsa Maju, Kuala Lumpur [KB:sTkiMAcg1U7rk3g0uAOm] [KB:Xw4FOvvyaOxKoQzCIuHW]
- **Developer**: Low Keng Huat Berhad [KB:sTkiMAcg1U7rk3g0uAOm] [KB:Xw4FOvvyaOxKoQzCIuHW]
- **Land Title**: Individual [KB:sTkiMAcg1U7rk3g0uAOm] [KB:Xw4FOvvyaOxKoQzCIuHW]
- **Tenure**: Leasehold till 2121 [KB:sTkiMAcg1U7rk3g0uAOm] [KB:Xw4FOvvyaOxKoQzCIuHW]
- **Maintenance Fee**: RM250 / month (guardhouse security fee) [KB:khvUiG7CYtrQqKA2j0vL]
- **Total Units**: 54 Semi-Detached Homes overall (Phase 1: 30 units; Phase 2: 24 units) [KB:sTkiMAcg1U7rk3g0uAOm] [KB:Xw4FOvvyaOxKoQzCIuHW]
- **Total Floors**: 3-Storey Semi-Detached Homes [KB:Xw4FOvvyaOxKoQzCIuHW]
- **Completion / Vacant Possession Date**: Estimated Q3 2027 (24 months) [KB:7c2C721cF0LE2BL7i7Fj] [KB:Xw4FOvvyaOxKoQzCIuHW]
- **Furnishing**: Partial high-spec finishes provided (Marble flooring in living, dining &amp; dry kitchen; Timber flooring in bedrooms, family area &amp; staircase; Toto sanitaryware; private lift; EV charger point; auto gate) [KB:7c2C721cF0LE2BL7i7Fj] [KB:Xw4FOvvyaOxKoQzCIuHW]. Full unit furnishing package is **not on record**.
- **Car Park Allocation**: **Not on record**.
#### Top Reasons to Buy
1. **Rare Landed Living near KLCC**: Located ~6 km to KL City Centre, near U-Thant Embassy Row and Great Eastern Mall [KB:sTkiMAcg1U7rk3g0uAOm] [KB:Xw4FOvvyaOxKoQzCIuHW].
2. **Hilltop Panoramic Views**: Exclusive enclave offering KL city skyline views [KB:7c2C721cF0LE2BL7i7Fj] [KB:Xw4FOvvyaOxKoQzCIuHW].
3. **Individual Title**: Allows flexibility for future expansion/modifications subject to approval [KB:sTkiMAcg1U7rk3g0uAOm] [KB:Xw4FOvvyaOxKoQzCIuHW].
4. **High-End Features**: Standard features include a private lift, EV charger point, auto gate, and premium marble &amp; timber flooring [KB:7c2C721cF0LE2BL7i7Fj] [KB:Xw4FOvvyaOxKoQzCIuHW].</t>
        </is>
      </c>
    </row>
    <row r="29" ht="60" customHeight="1">
      <c r="A29" s="19" t="inlineStr">
        <is>
          <t>P22</t>
        </is>
      </c>
      <c r="B29" s="20" t="inlineStr">
        <is>
          <t>The Reya</t>
        </is>
      </c>
      <c r="C29" s="19" t="n">
        <v>24</v>
      </c>
      <c r="D29" s="20" t="inlineStr">
        <is>
          <t>chat-52553b58-c1ea-42e0-b715-3591219c5b3f</t>
        </is>
      </c>
      <c r="E29" s="24" t="inlineStr">
        <is>
          <t>Here are the full project details for **The Reya**:
### Layout Details
* **Type A1**: 1,350 sq.ft. | 3+1 bedrooms, 2 bathrooms | **Nett Price (Non-Bumi):** From RM830,000+ [KB:R9QOScLHnju49NAweTCH] | **Gross Price:** Not on record | **Status:** Available
* **Type A2 (Corner)**: 1,420 sq.ft. | 3+1 bedrooms, 3 bathrooms | **Nett Price (Non-Bumi):** From RM880,000+ [KB:R9QOScLHnju49NAweTCH] | **Gross Price:** Not on record | **Status:** Available
* **Type A3**: 1,420 sq.ft. | 3+1 bedrooms, 2 bathrooms [KB:BqtC1zFyNWpYQZ6qVN8y] | **Nett Price:** Not on record | **Gross Price:** Not on record | **Status:** **Sold Out** [KB:R9QOScLHnju49NAweTCH]
* **Type A4**: 1,420 sq.ft. | 3+1 bedrooms, 2 bathrooms | **Nett Price (Non-Bumi):** From RM870,000+ [KB:R9QOScLHnju49NAweTCH] | **Gross Price:** Not on record | **Status:** Available
* **Type B**: 1,758 sq.ft. | 4+1 bedrooms, 3 bathrooms | **Nett Price (Non-Bumi):** From RM1,200,000+ [KB:R9QOScLHnju49NAweTCH] | **Gross Price:** Not on record | **Status:** Available
* **Type C**: 2,210 sq.ft. | 4+1 bedrooms + 1 studio, 5 bathrooms | **Nett Price (Non-Bumi):** From RM1,500,000+ [KB:R9QOScLHnju49NAweTCH] | **Gross Price:** Not on record | **Status:** Available
---
### Project Overview
* **Area:** KL East, Desa Melawati, Kuala Lumpur [KB:jcWQh7l2xsQuw3KupwBf]
* **Developer:** Sime Darby Property [KB:jcWQh7l2xsQuw3KupwBf]
* **Land Title:** Residential title [KB:BqtC1zFyNWpYQZ6qVN8y]
* **Tenure:** Freehold [KB:BqtC1zFyNWpYQZ6qVN8y, KB:jcWQh7l2xsQuw3KupwBf]
* **Maintenance Fee:** RM0.40 psf (inclusive of sinking fund) [KB:jcWQh7l2xsQuw3KupwBf, KB:1M6V9RoA5I98IqlCutvU]
* **Total Units:** 480 units (Wing A: 233 units; Wing B: 247 units) [KB:BqtC1zFyNWpYQZ6qVN8y]
* **Total Floors:** Wing A – 30 storeys (Level 7–36); Wing B – 32 storeys (Level 3–34) [KB:BqtC1zFyNWpYQZ6qVN8y]
* **Completion / VP Date:** Target launch Q4 2024 with a 56-month construction period [KB:BqtC1zFyNWpYQZ6qVN8y]; exact completion/VP date is not on record.
---
### Key Highlights &amp; Furnishing
* **Top Reasons to Buy:**
  * Freehold high-rise at the foothills of Bukit Tabur, featuring views of KL East Park and the Klang Gates Quartz Ridge [KB:BqtC1zFyNWpYQZ6qVN8y].
  * Low-density development (480 units across 6.39 acres) with 47% natural forest preserved on site [KB:BqtC1zFyNWpYQZ6qVN8y].
  * Direct 300m covered walkway to KL East Mall.
  * All units feature balconies and multi-generational layouts [KB:BqtC1zFyNWpYQZ6qVN8y].
* **Furnishing:** Partially furnished (Includes smart digital lock, full air-conditioning, storage water heater, wet kitchen cabinets with hood &amp; hob, and child-friendly laminated flooring in living room &amp; bedrooms).
* **Car Park Allocation:**
  * **Type A1, A2, A3, A4:** 2 car parks [KB:BqtC1zFyNWpYQZ6qVN8y]
  * **Type B:** 2 to 3 car parks (1 single + 1 tandem) [KB:BqtC1zFyNWpYQZ6qVN8y]
  * **Type C:** 3 car parks [KB:BqtC1zFyNWpYQZ6qVN8y]</t>
        </is>
      </c>
    </row>
    <row r="30" ht="60" customHeight="1">
      <c r="A30" s="19" t="inlineStr">
        <is>
          <t>P23</t>
        </is>
      </c>
      <c r="B30" s="20" t="inlineStr">
        <is>
          <t>Padang Residences</t>
        </is>
      </c>
      <c r="C30" s="19" t="n">
        <v>28.9</v>
      </c>
      <c r="D30" s="20" t="inlineStr">
        <is>
          <t>chat-74dbb9a5-9c42-4922-94f5-353dadf5a15f</t>
        </is>
      </c>
      <c r="E30" s="24" t="inlineStr">
        <is>
          <t>Here are the project details for **Padang Residences** (Project ID: `hVUWwBE2CRaMWYOuwWyp`):
### **Layout Breakdown**
* **Type A**: 1,199 sqft | 3 Bedrooms (3R 2B) | Gross Price: RM785,000 – RM819,000 | Nett Price: not on record | Status: Available
* **Type B**: 1,033 sqft | 3 Bedrooms (3R 2B) | Gross Price: RM678,000 – RM710,000 | Nett Price: not on record | Status: Available
* **Type C**: 902 sqft | 2+1 Bedrooms (2+1R 2B) | Gross Price: RM624,000 – RM672,000 | Nett Price: not on record | Status: Available
* **Type D**: 802 sqft | 2 Bedrooms (2R 2B) | Gross Price: RM580,000 – RM611,000 | Nett Price: not on record | Status: Available
* **Type SU1 (Signature Unit)**: 1,558 sqft | 4 Bedrooms (4R 3B) | Gross Price: From RM1,030,000 | Nett Price: not on record | Status: Available
* **Type SU6 (Signature Unit)**: 1,708 sqft | 4 Bedrooms (4R 3B) | Gross Price: From RM1,100,000 | Nett Price: not on record | Status: Available
* **Type SU7 (Signature Unit)**: 2,125 sqft | 4 Bedrooms (4R 3B) | Gross Price: From RM1,300,000 | Nett Price: not on record | Status: Available
*(Note: Specific layout-by-layout nett prices are not on record, though overall promotional rebates and cashback apply across unit types).* 
---
### **Car Park Allocation per Layout**
* **Type A**: 2 Car Parks
* **Type B**: 2 Car Parks
* **Type C**: 1 or 2 Car Parks
* **Type D**: 1 Car Park
* **Type SU1, SU6, SU7**: 3 Car Parks
---
### **Project Information**
* **Area**: Kota Semarak / Jalan Sultan Yahya Petra (formerly Jalan Semarak), Kuala Lumpur [KB:UkphwtjVxtx8lvNFgzJd]
* **Developer**: MRCB &amp; TH Properties [KB:UkphwtjVxtx8lvNFgzJd]
* **Land Title**: Commercial under HDA Condominium [KB:UkphwtjVxtx8lvNFgzJd]
* **Tenure**: Leasehold (expiry 26 July 2117) [KB:UkphwtjVxtx8lvNFgzJd]
* **Maintenance Fee**: RM0.35 psf (inclusive of sinking fund) [KB:UkphwtjVxtx8lvNFgzJd]
* **Total Units**: 1,226 units (Phase 1) [KB:UkphwtjVxtx8lvNFgzJd]
* **Total Floors**: 39 storeys [KB:UkphwtjVxtx8lvNFgzJd]
* **Completion / Vacant Possession Date**: December 2027 [KB:UkphwtjVxtx8lvNFgzJd]
---
### **Furnishing Provided**
Partially furnished including:
* Kitchen cabinets with hood &amp; hob
* Digital lock
* 2 air-conditioners (master bedroom &amp; living hall); air-con point provided for 2nd bedroom [KB:5BZwLjBbMUaJaY878mDZ]
---
### **Top Reasons to Buy**
1. Low-density residential layout (197 units/acre across 6.3 acres) [KB:5BZwLjBbMUaJaY878mDZ].
2. Greenery views for most units while located close to the city centre [KB:5BZwLjBbMUaJaY878mDZ].
3. Attractive pricing starting from ~RM500+ psf with cashback packages [KB:5BZwLjBbMUaJaY878mDZ].
4. Close proximity to primary, secondary, international schools, and universities within 3 to 5 km [KB:5BZwLjBbMUaJaY878mDZ].</t>
        </is>
      </c>
    </row>
    <row r="31" ht="60" customHeight="1">
      <c r="A31" s="19" t="inlineStr">
        <is>
          <t>P24</t>
        </is>
      </c>
      <c r="B31" s="20" t="inlineStr">
        <is>
          <t>Tangen Residences</t>
        </is>
      </c>
      <c r="C31" s="19" t="n">
        <v>22</v>
      </c>
      <c r="D31" s="20" t="inlineStr">
        <is>
          <t>chat-d4368647-5c1c-471a-a03a-5198bd64f685</t>
        </is>
      </c>
      <c r="E31" s="24" t="inlineStr">
        <is>
          <t>### Tangen Residences Project Details
#### Layout Details
- **Type A**
  - **Size:** 1,582 sqft (147 m²)
  - **Bedrooms:** 4 Bedrooms (4R3B)
  - **Nett Price:** Not on record
  - **Gross Price:** Not on record
- **Type B**
  - **Size:** 1,281 sqft (119 m²)
  - **Bedrooms:** 4 Bedrooms (4R3B)
  - **Nett Price:** Not on record
  - **Gross Price:** Not on record
- **Type C**
  - **Size:** 1,033 sqft (96 m²)
  - **Bedrooms:** 3 Bedrooms (3R2B)
  - **Nett Price:** Not on record
  - **Gross Price:** Not on record
- **Type D**
  - **Size:** 1,550 sqft (144 m²)
  - **Bedrooms:** 4 Bedrooms (4R3B)
  - **Nett Price:** Not on record
  - **Gross Price:** Not on record
*(Note: Starting price on record is RM659,000. Low floors up to Level 16 are sold out; currently selling up to Level 38. Layout-specific nett and gross price breakdowns are not on record.)*
#### Project Information
- **Area:** Jalan Seri Bintang, Segambut / North Kiara (5 minutes to Desa ParkCity &amp; Mont Kiara) [KB:3YsZNngOucdNpTOTKnxE]
- **Developer:** Angkasa Armada Sdn Bhd (subsidiary of Eng Han Group) [KB:3YsZNngOucdNpTOTKnxE]
- **Land Title:** Residential (Schedule H)
- **Maintenance Fee:** Est. RM0.33 psf (inclusive of sinking fund) [KB:MvQLnYFbLxcvZbkLrfus]
- **Tenure:** Freehold [KB:3YsZNngOucdNpTOTKnxE]
- **Total Units:** 413 units [KB:MvQLnYFbLxcvZbkLrfus]
- **Total Floors:** 49 floors [KB:MvQLnYFbLxcvZbkLrfus]
- **Completion / Vacant Possession Date:** Target Q4 2027 (48 months from SPA) [KB:MvQLnYFbLxcvZbkLrfus]
- **Top Reasons to Buy:** Not on record
- **Furnishing:** Bare unit [KB:MvQLnYFbLxcvZbkLrfus]
- **Car Park Allocation:** 2–3 side-by-side parking bays [KB:MvQLnYFbLxcvZbkLrfus]</t>
        </is>
      </c>
    </row>
    <row r="32" ht="60" customHeight="1">
      <c r="A32" s="19" t="inlineStr">
        <is>
          <t>P25</t>
        </is>
      </c>
      <c r="B32" s="20" t="inlineStr">
        <is>
          <t>Miranda Hill @ north kiara by BRDB</t>
        </is>
      </c>
      <c r="C32" s="19" t="n">
        <v>28</v>
      </c>
      <c r="D32" s="20" t="inlineStr">
        <is>
          <t>chat-19bf35a4-9ca4-45bf-9fde-545648178074</t>
        </is>
      </c>
      <c r="E32" s="24" t="inlineStr">
        <is>
          <t>Here are the details for **Miranda Hill @ north kiara by BRDB**:
### Layout Details
* **2+1 Rooms (Type A)**
  * **Size:** 943 – 1,093 sqft [KB:msaaQ1RuJJn2CSPEwDzB]
  * **Bedrooms:** 2+1 [KB:msaaQ1RuJJn2CSPEwDzB]
  * **Gross Price:** Starting from RM730,250 [KB:qBLS57rdUpEr7wabsJ3G] (Average ~RM759 psf [KB:msaaQ1RuJJn2CSPEwDzB])
  * **Nett Price:** Not on record
  * **Status:** Available
* **3+1 Rooms (Type B)**
  * **Size:** 1,292 – 1,595 sqft [KB:msaaQ1RuJJn2CSPEwDzB]
  * **Bedrooms:** 3+1 [KB:msaaQ1RuJJn2CSPEwDzB]
  * **Gross Price:** Average ~RM732 psf [KB:msaaQ1RuJJn2CSPEwDzB]
  * **Nett Price:** Not on record
  * **Status:** Available
* **4+2 Rooms (Type C)**
  * **Size:** 2,153 – 2,237 sqft [KB:msaaQ1RuJJn2CSPEwDzB]
  * **Bedrooms:** 4+2 [KB:msaaQ1RuJJn2CSPEwDzB]
  * **Gross Price:** Up to RM2,732,400 [KB:qBLS57rdUpEr7wabsJ3G] (Average ~RM678 psf [KB:msaaQ1RuJJn2CSPEwDzB])
  * **Nett Price:** Not on record
  * **Status:** Available
* **Penthouse (5+1 Rooms)**
  * **Size:** 2,735 – 3,584 sqft [KB:msaaQ1RuJJn2CSPEwDzB]
  * **Bedrooms:** 5+1 [KB:msaaQ1RuJJn2CSPEwDzB]
  * **Gross Price:** Sold Out
  * **Nett Price:** Sold Out
  * **Status:** Sold Out
---
### Project Specifications
* **Area:** North Kiara (Jalan Dutamas Melati, 3 streets from Publika, opposite French School of Kuala Lumpur) [KB:cdV2XwcdMEqhhhxthQRZ] [KB:msaaQ1RuJJn2CSPEwDzB]
* **Developer:** Freedom Estates Sdn Bhd (part of BRDB Group) [KB:cdV2XwcdMEqhhhxthQRZ] [KB:msaaQ1RuJJn2CSPEwDzB]
* **Land Title:** Residential [KB:cdV2XwcdMEqhhhxthQRZ] [KB:msaaQ1RuJJn2CSPEwDzB]
* **Maintenance Fee:** RM0.28 psf (inclusive of sinking fund) [KB:msaaQ1RuJJn2CSPEwDzB]
* **Tenure:** Freehold [KB:cdV2XwcdMEqhhhxthQRZ] [KB:msaaQ1RuJJn2CSPEwDzB]
* **Total Units:** 552 units (Tower 1: 277 units; Tower 2: 275 units) [KB:msaaQ1RuJJn2CSPEwDzB] [KB:qBLS57rdUpEr7wabsJ3G]
* **Total Floors:** Tower 1: 37 floors; Tower 2: 35 floors [KB:msaaQ1RuJJn2CSPEwDzB]
* **Completion / Vacant Possession Date:** September 2027 / End of 2027 [KB:cdV2XwcdMEqhhhxthQRZ] [KB:qBLS57rdUpEr7wabsJ3G]
### Car Park Allocation
* **Type A &amp; Type B (Intermediate):** 2 car park bays [KB:msaaQ1RuJJn2CSPEwDzB]
* **Type B &amp; Type C:** 3 car park bays [KB:msaaQ1RuJJn2CSPEwDzB]
* **Penthouse:** 4 car park bays [KB:msaaQ1RuJJn2CSPEwDzB]
### Furnishing
Partly Furnished:
* Full air-conditioning
* Full dry kitchen in all units; full wet kitchen for Type C &amp; D
* Kitchen appliances: hood, hob, fridge, oven, washer &amp; dryer
* Master bedroom wardrobe
* Master bathroom: hot water system &amp; quartz vanity top
* Digital lock door
* Laminated timber flooring &amp; tinted laminated windows
### Top Reasons to Buy
1. **Low Density &amp; Exclusive Environment:** Only 552 units across 7.84 acres (70 units/acre), with 4.43 acres dedicated exclusively to green landscaping.
2. **Prestigious Developer Track Record:** Developed by BRDB Group (creators of Bangsar Shopping Centre and One Menerung) [KB:cdV2XwcdMEqhhhxthQRZ].
3. **Prime Location:** Situated in North Kiara, 3 streets from Publika Shopping Gallery and directly opposite the French School of Kuala Lumpur [KB:b7hG7NslGiJvB9EsTjps].
4. **Standout Amenities:** Features a 230m (750ft) swimming pool—the longest in Mont Kiara—along with a tennis court and dual guardhouse access.</t>
        </is>
      </c>
    </row>
    <row r="33" ht="60" customHeight="1">
      <c r="A33" s="19" t="inlineStr">
        <is>
          <t>P26</t>
        </is>
      </c>
      <c r="B33" s="20" t="inlineStr">
        <is>
          <t>Alstonia Hilltop Homes</t>
        </is>
      </c>
      <c r="C33" s="19" t="n">
        <v>32</v>
      </c>
      <c r="D33" s="20" t="inlineStr">
        <is>
          <t>chat-66bfb09b-e872-45de-b2dc-93fcb6e776f3</t>
        </is>
      </c>
      <c r="E33" s="24" t="inlineStr">
        <is>
          <t>Here are the details for **Alstonia Hilltop Homes** (Project ID: `ZAtRBLvFIfa04tuOnDcr`):
### 1. Layouts, Sizes, Bedrooms &amp; Pricing
Individual unit-level layout pricing tables (gross vs. nett prices) and specific layout sold-out statuses are **not on record**. The overall layout breakdown and price ranges on record are as follows:
* **Garden Heights Condominium (214 units)** [KB:rQ8JQ7OQlQS5yULaUlj1, KB:DkEf8TbYIS4s9ZC6CSDO, KB:oFIvWiEgTywI0exB92Kw]:
  * **Type A1**: 1,001 sq. ft. [KB:oFIvWiEgTywI0exB92Kw]
  * **Type A2**: 1,022 sq. ft. [KB:oFIvWiEgTywI0exB92Kw]
  * **Type B1**: 1,216 sq. ft. (3 Bedrooms + 1) [KB:FDMnWJDd87f7mg20JjdT, KB:oFIvWiEgTywI0exB92Kw]
  * **Type B2**: 1,227 sq. ft. [KB:oFIvWiEgTywI0exB92Kw]
  * **Type C1**: 1,431 sq. ft. [KB:oFIvWiEgTywI0exB92Kw]
  * **Bedrooms**: 3 Bedrooms to 4+1 Bedrooms [KB:rQ8JQ7OQlQS5yULaUlj1]
  * **Price Range**: Min RM676,800 – Max RM1,238,640 [KB:oFIvWiEgTywI0exB92Kw]
  * **Gross &amp; Nett Price / Sold-out status per layout**: Not on record.
* **Garden Villas / 3-Storey Villa (31 units)** [KB:rQ8JQ7OQlQS5yULaUlj1, KB:DkEf8TbYIS4s9ZC6CSDO, KB:oFIvWiEgTywI0exB92Kw]:
  * **Intermediate Unit**: 3,500 sq. ft. / 3,516 sq. ft. [KB:rQ8JQ7OQlQS5yULaUlj1, KB:oFIvWiEgTywI0exB92Kw]
  * **Corner Unit**: 3,600 sq. ft. / 3,640 sq. ft. (4 Bedrooms + 2) [KB:rQ8JQ7OQlQS5yULaUlj1, KB:FDMnWJDd87f7mg20JjdT, KB:oFIvWiEgTywI0exB92Kw]
  * **Price Range**: Min RM1,761,800 – Max RM3,020,940 [KB:oFIvWiEgTywI0exB92Kw]
  * **Gross &amp; Nett Price / Sold-out status per layout**: Not on record.
---
### 2. General Project Details
* **Area**: Bukit Rahman Putra (BRP), Sungai Buloh, Selangor [KB:DkEf8TbYIS4s9ZC6CSDO]
* **Developer**: Pinnacle Paradise Sdn Bhd (a subsidiary of MRCB Land) [KB:rQ8JQ7OQlQS5yULaUlj1] / MRCB [KB:DkEf8TbYIS4s9ZC6CSDO]
* **Land Title**: Residential, Strata Title [KB:DkEf8TbYIS4s9ZC6CSDO]
* **Maintenance Fee**: RM0.35 psf (inclusive of sinking fund)
* **Tenure**: Freehold [KB:DkEf8TbYIS4s9ZC6CSDO, KB:oFIvWiEgTywI0exB92Kw]
* **Total Units**: 245 units (31 Garden Villas, 214 Garden Heights Condominiums) [KB:DkEf8TbYIS4s9ZC6CSDO, KB:oFIvWiEgTywI0exB92Kw]
* **Total Floors**: 24-Storey Condominium, 3-Storey Garden Villas [KB:DkEf8TbYIS4s9ZC6CSDO, KB:FDMnWJDd87f7mg20JjdT]
* **Completion / Vacant Possession Date**: Q1 2024 (Completed / VP) [KB:DkEf8TbYIS4s9ZC6CSDO]
* **Car Park Allocation**: 
  * Condominium Type A1: 2 car parks [KB:oFIvWiEgTywI0exB92Kw]
  * Condominium Type A2: 2 car parks [KB:oFIvWiEgTywI0exB92Kw]
  * Condominium Type B1: 2 car parks [KB:oFIvWiEgTywI0exB92Kw]
  * Condominium Type B2: 2 car parks [KB:oFIvWiEgTywI0exB92Kw]
  * Condominium Type C1: 3 car parks [KB:oFIvWiEgTywI0exB92Kw]
  * Villa car park allocation: Not on record.
* **Top Reasons to Buy**: Not on record
* **Furnishing**: Not on record</t>
        </is>
      </c>
    </row>
    <row r="34" ht="60" customHeight="1">
      <c r="A34" s="19" t="inlineStr">
        <is>
          <t>P27</t>
        </is>
      </c>
      <c r="B34" s="20" t="inlineStr">
        <is>
          <t>Binastra Cochrane</t>
        </is>
      </c>
      <c r="C34" s="19" t="n">
        <v>63.6</v>
      </c>
      <c r="D34" s="20" t="inlineStr">
        <is>
          <t>chat-18fa733a-34af-4fda-a14c-a83a5c4c70cc</t>
        </is>
      </c>
      <c r="E34" s="24" t="inlineStr">
        <is>
          <t>Binastra Cochrane is not on record in the active D2 project inventory. As a result, layout details (sizes, nett/gross prices), area, developer, land title, maintenance fee, tenure, total units, total floors, completion date, furnishing, and car park allocations for Binastra Cochrane are not available in the system. Please check with D2 sales admin for further information regarding this project.</t>
        </is>
      </c>
    </row>
    <row r="35" ht="60" customHeight="1">
      <c r="A35" s="19" t="inlineStr">
        <is>
          <t>P28</t>
        </is>
      </c>
      <c r="B35" s="20" t="inlineStr">
        <is>
          <t>Eden BRDB, Taman Duta</t>
        </is>
      </c>
      <c r="C35" s="19" t="n">
        <v>25.9</v>
      </c>
      <c r="D35" s="20" t="inlineStr">
        <is>
          <t>chat-caec3177-2d4a-4368-ab36-0acbe90791c4</t>
        </is>
      </c>
      <c r="E35" s="24" t="inlineStr">
        <is>
          <t>Here are the details for **Eden BRDB, Taman Duta**: [KB:9tab2Vy32EQUQzxB3GGt]
### Layout Breakdown
* **Type A2**: 5,307 sqft | 4+2 Bedrooms, 5 Bathrooms + 1 Powder | **Nett:** RM8.5M – RM11.8M | **Gross:** from RM1,700 psf
* **Type C**: 6,491 sqft | 4+2 Bedrooms, 6 Bathrooms + 1 Powder | **Nett:** RM10.0M – RM14.6M | **Gross:** from RM1,700 psf
* **Type A3a**: 9,192 sqft | 4+2 Bedrooms, 6 Bathrooms + 1 Powder | **Nett:** RM14.8M – RM15.8M | **Gross:** from RM1,700 psf
* **Type C1**: 11,141 sqft | 4+2 Bedrooms, 7 Bathrooms + 1 Powder | **Nett:** Sold out | **Gross:** Sold out
* **Type D1**: 19,031 sqft | 5+2 Bedrooms, 8 Bathrooms + 1 Powder | **Nett:** RM30.9M | **Gross:** RM1,625 psf
--- 
### Project Details
* **Area**: Taman Duta [KB:9tab2Vy32EQUQzxB3GGt]
* **Developer**: BRDB [KB:9tab2Vy32EQUQzxB3GGt]
* **Land Title**: Not on record
* **Maintenance Fee**: RM0.70 psf (inclusive of sinking fund) [KB:9tab2Vy32EQUQzxB3GGt]
* **Tenure**: Freehold [KB:9tab2Vy32EQUQzxB3GGt]
* **Total Units**: 146 units (including 22 duplex penthouses) [KB:9tab2Vy32EQUQzxB3GGt]
* **Total Floors**: 3 to 8 storeys (across 8 low-rise blocks) [KB:9tab2Vy32EQUQzxB3GGt]
* **Completion / Vacant Possession Date**: Mid 2029 [KB:9tab2Vy32EQUQzxB3GGt]
* **Top Reasons to Buy**: 
  * Exclusive, quiet sanctuary offering resort-style living [KB:P4mqGmKzCGMBancpcGQL]
  * Ultra-low density development (only 146 units set across 12.25 acres) [KB:P4mqGmKzCGMBancpcGQL]
  * Experience of landed home living without maintenance headaches [KB:P4mqGmKzCGMBancpcGQL]
  * 30% of development dedicated to greenery with GreenRE Gold certification [KB:P4mqGmKzCGMBancpcGQL]
  * Outfitted with ultra-luxury brands (Poggenpohl, Gaggenau, Molteni &amp; C, Hansgrohe, Villeroy &amp; Boch, Bosch)
* **Furnishing**: Partially furnished with premium built-ins and appliances (Poggenpohl dry kitchen/cabinetry, Gaggenau appliances, Molteni &amp; C wardrobes, Hansgrohe and Villeroy &amp; Boch sanitary ware, Bosch wet kitchen appliances). Full furnishing package details are not on record.
* **Car Park Allocation**: 4 to 11 car parks per unit (all equipped with EV infrastructure) [KB:P4mqGmKzCGMBancpcGQL]</t>
        </is>
      </c>
    </row>
    <row r="36" ht="60" customHeight="1">
      <c r="A36" s="19" t="inlineStr">
        <is>
          <t>P29</t>
        </is>
      </c>
      <c r="B36" s="20" t="inlineStr">
        <is>
          <t>Majestic @ Kiara Reserve</t>
        </is>
      </c>
      <c r="C36" s="19" t="n">
        <v>35</v>
      </c>
      <c r="D36" s="20" t="inlineStr">
        <is>
          <t>chat-56740e26-6092-4205-ac26-c77449e701ff</t>
        </is>
      </c>
      <c r="E36" s="24" t="inlineStr">
        <is>
          <t>Here are the full details for **Majestic @ Kiara Reserve** [Project ID: `ua17QmBD8hAzIEEiSzlk`]:
### Project Overview
- **Area:** Mont Kiara / Damansara Heights, KL North (Next to SMK Sri Hartamas, adjacent to 400-acre Bukit Kiara Reserve Forest) [KB:2m9DMel1OWJ5dzRDlfDp]
- **Developer:** Excellent Bonanza Sdn Bhd (under GSH Corporation, SGX-listed) [KB:ulZttJH8RBdnrnkSfeCc]
- **Land Title:** Residential [KB:ulZttJH8RBdnrnkSfeCc]
- **Tenure:** Freehold [KB:ulZttJH8RBdnrnkSfeCc], [KB:2m9DMel1OWJ5dzRDlfDp]
- **Maintenance Fee:** RM0.55 psf [KB:ulZttJH8RBdnrnkSfeCc]
- **Total Units:** 237 units total across all phases (Phase 1: 57 parkhomes + 79 villas; Phase 2: 93 condo units + 8 villas) [KB:2m9DMel1OWJ5dzRDlfDp], [KB:B0KGYnCEaUpGXGJlrbMH]
- **Total Floors:** High-rise condominium is 11 storeys [KB:B0KGYnCEaUpGXGJlrbMH] (parkhomes and villas total floors: not on record)
- **Expected Completion / Vacant Possession Date:** Q4 2029 [KB:ulZttJH8RBdnrnkSfeCc]
---
### Layout Breakdown
#### **Phase 1: Parkhomes &amp; Villas**
1. **Parkhomes**
   - **Built-up Size:** 1,600 sqft (+ 700 sqft car park) [KB:B0KGYnCEaUpGXGJlrbMH]
   - **Bedrooms:** Not on record
   - **Gross Price (SPA):** From RM1,560,000 – RM1,700,000+ [KB:B0KGYnCEaUpGXGJlrbMH]
   - **Nett Price:** Not on record
   - **Status:** Available
2. **Villa A**
   - **Built-up Size:** 3,703 sqft [KB:B0KGYnCEaUpGXGJlrbMH]
   - **Bedrooms:** 5+1 rooms (5+1 bathrooms) [KB:B0KGYnCEaUpGXGJlrbMH]
   - **Gross Price (SPA):** From RM4,000,000 [KB:B0KGYnCEaUpGXGJlrbMH]
   - **Nett Price:** Not on record
   - **Status:** Available
3. **Villa B**
   - **Built-up Size:** 2,800 sqft [KB:B0KGYnCEaUpGXGJlrbMH]
   - **Bedrooms:** 3+1 rooms (4+1 bathrooms) [KB:B0KGYnCEaUpGXGJlrbMH]
   - **Gross Price (SPA):** From RM3,000,000 [KB:B0KGYnCEaUpGXGJlrbMH]
   - **Nett Price:** Not on record
   - **Status:** Available
#### **Phase 2: Villas &amp; High-Rise Condominium**
4. **Type B-2 / B-3 Villa**
   - **Built-up Size:** 2,960 sqft
   - **Bedrooms:** 3+1 rooms (3+2 bathrooms)
   - **Gross Price (SPA):** RM3,291,800
   - **Nett Price:** RM2,903,367.60 (after 10% + 2% rebate)
   - **Status:** Available
5. **Type B-3A Villa**
   - **Built-up Size:** 3,153 sqft
   - **Bedrooms:** 3+1 rooms (3+2 bathrooms)
   - **Gross Price (SPA):** RM3,483,800
   - **Nett Price:** RM3,072,711.60 (after 10% + 2% rebate)
   - **Status:** Available
6. **Condo Unit 1 &amp; 7 (Dual Frontage - KLCC &amp; Forest View)**
   - **Built-up Size:** 1,410 sqft &amp; 1,464 sqft
   - **Bedrooms:** 3+1 rooms [KB:2m9DMel1OWJ5dzRDlfDp]
   - **Gross Price (SPA):** From RM1,200,000 [KB:2m9DMel1OWJ5dzRDlfDp]
   - **Nett Price:** Not on record
   - **Status:** Available
7. **Condo Unit 2, 3, 5, 6 (KLCC View)**
   - **Built-up Size:** 1,496 sqft
   - **Bedrooms:** 3+1 rooms [KB:2m9DMel1OWJ5dzRDlfDp]
   - **Gross Price (SPA):** From RM1,200,000 [KB:2m9DMel1OWJ5dzRDlfDp]
   - **Nett Price:** Not on record
   - **Status:** Available
8. **Condo Unit 3A (KLCC View)**
   - **Built-up Size:** 1,453 sqft
   - **Bedrooms:** 3+1 rooms [KB:2m9DMel1OWJ5dzRDlfDp]
   - **Gross Price (SPA):** From RM1,200,000 [KB:2m9DMel1OWJ5dzRDlfDp]
   - **Nett Price:** Not on record
   - **Status:** Available
9. **Condo Unit 8 &amp; 9 (Kiara Reserve Forest View)**
   - **Built-up Size:** 1,270 sqft &amp; 1,292 sqft
   - **Bedrooms:** 3+1 rooms [KB:2m9DMel1OWJ5dzRDlfDp]
   - **Gross Price (SPA):** From RM1,200,000 [KB:2m9DMel1OWJ5dzRDlfDp]
   - **Nett Price:** Not on record
   - **Status:** Available
---
### Car Park Allocation
- **Condominium Units:** 2 car parks per unit
- **Parkhomes:** Dedicated 700 sqft car park area with EV charging point [KB:B0KGYnCEaUpGXGJlrbMH]
- **Villas:** 4 car parks per unit with EV charging point [KB:2m9DMel1OWJ5dzRDlfDp], [KB:B0KGYnCEaUpGXGJlrbMH]
---
### Furnishing Details
- **Parkhomes:** Partially furnished with dry kitchen cabinets, Electrolux microwave &amp; oven, 5 air-conditioners, plaster ceiling, water heaters, Villeroy &amp; Boch sanitary fittings, digital lockset, porcelain tiles &amp; engineered timber flooring [KB:B0KGYnCEaUpGXGJlrbMH].
- **Villas:** Partially furnished with plaster ceiling, private lift in unit, rooftop rain harvesting system, solar panels, air-conditioners, water heaters, Villeroy &amp; Boch sanitary fittings, digital lockset [KB:B0KGYnCEaUpGXGJlrbMH].
- **Condominium Units:** Partially furnished with air-conditioners, Villeroy &amp; Boch sanitary fittings, water heaters, digital lockset [KB:B0KGYnCEaUpGXGJlrbMH].
---
### Top Reasons to Buy [KB:2m9DMel1OWJ5dzRDlfDp]
1. **Freehold Land:** 4.8 acres of rare freehold tenure between Mont Kiara &amp; Damansara Heights.
2. **Very Low Density:** Total of only 79 Villas, 57 Parkhomes, and 93 High-rise units.
3. **Adjacent to Nature:** Directly adjacent to the 400-acre Bukit Kiara Forest Reserve.
4. **Beat Mont Kiara Traffic:** Situated next to SMK Sri Hartamas with easy access in and out.
5. **Convenient Walkability:** 300m walk to Desa Sri Hartamas shoplots (eateries, cafes, banks, services).
6. **Competitive Entry Price:** Starts from ~RM900 psf compared to neighboring properties trading at RM1,100+ psf.</t>
        </is>
      </c>
    </row>
    <row r="37" ht="60" customHeight="1">
      <c r="A37" s="19" t="inlineStr">
        <is>
          <t>P30</t>
        </is>
      </c>
      <c r="B37" s="20" t="inlineStr">
        <is>
          <t>St. Regis Residences Kuala Lumpur</t>
        </is>
      </c>
      <c r="C37" s="19" t="n">
        <v>25.9</v>
      </c>
      <c r="D37" s="20" t="inlineStr">
        <is>
          <t>chat-45710e28-1240-4e2e-ad97-0c0adaef2d92</t>
        </is>
      </c>
      <c r="E37" s="24" t="inlineStr">
        <is>
          <t>### St. Regis Residences Kuala Lumpur [Project ID: 8UKNRsEYVyFqZFp0wt5Q]
#### Layouts &amp; Pricing
- **Studio**
  - **Size**: 820 sqft
  - **Bedrooms**: 0 (Studio)
  - **Gross Price**: From RM2,280,000
  - **Nett Price**: Not on record
  - **Status**: Available
- **1 Bedroom**
  - **Size**: 1,648 sqft
  - **Bedrooms**: 1
  - **Gross Price**: From RM4,470,000
  - **Nett Price**: Not on record
  - **Status**: Available
- **2 Bedrooms**
  - **Size**: 2,408 sqft
  - **Bedrooms**: 2
  - **Gross Price**: From RM6,330,000
  - **Nett Price**: Not on record
  - **Status**: Available
- **3 Bedrooms**
  - **Size**: 4,253 sqft
  - **Bedrooms**: 3
  - **Gross Price**: From RM10,970,000
  - **Nett Price**: Not on record
  - **Status**: Available
#### Key Project Details
- **Area**: KL Sentral, Kuala Lumpur
- **Developer**: Excellent Bonanza Sdn Bhd (under GSH Corporation) [KB:uuV6C249TylzjKr25it3]
- **Land Title**: Not on record
- **Maintenance Fee**: Not on record
- **Tenure**: Freehold
- **Total Units**: Not on record
- **Total Floors**: 48 storeys [KB:uuV6C249TylzjKr25it3]
- **Completion / Vacant Possession Date**: Completed [KB:uuV6C249TylzjKr25it3]
- **Top Reasons to Buy**: Not on record
- **Furnishing**: Fully fitted with Miele, Bulthaup &amp; Lema designer appliances and furniture, branded hotel-style finishing, built-in wardrobes and bathrooms
- **Car Park Allocation**: 1–2 car parks per unit (varies by unit size; basement &amp; podium parking)</t>
        </is>
      </c>
    </row>
    <row r="38" ht="60" customHeight="1">
      <c r="A38" s="19" t="inlineStr">
        <is>
          <t>P31</t>
        </is>
      </c>
      <c r="B38" s="20" t="inlineStr">
        <is>
          <t>Aster Hill Sri Petaling</t>
        </is>
      </c>
      <c r="C38" s="19" t="n">
        <v>24.9</v>
      </c>
      <c r="D38" s="20" t="inlineStr">
        <is>
          <t>chat-763368fb-8202-4ea7-9dd1-72917899891c</t>
        </is>
      </c>
      <c r="E38" s="24" t="inlineStr">
        <is>
          <t>Here are the details on record for **Aster Hill Sri Petaling** (Project ID: `5GQD7WaNNz6Dlzb13Ho1`):
### Layout Options
All units feature **3 Bedrooms &amp; 2 Bathrooms** [KB:3ftGruUWUzeOeON8fh6p]:
- **Type A1**: 852 sqft | Entry Price: from RM518,000 [KB:ll7s46YxVwtamd6Z3N8M] | Specific Gross &amp; Nett Price breakdown: Not on record
- **Type B1**: 1,043 sqft | Gross &amp; Nett Price breakdown: Not on record
- **Type C**: 1,077 sqft | Gross &amp; Nett Price breakdown: Not on record
*(Note: Per-unit sold-out status per layout is not specified in the system record; check with D2 sales admin for real-time unit availability).* 
--- 
### Project Details
- **Area:** Sri Petaling, KL South
- **Developer:** UOA Development Bhd (Master Developer of Bangsar South) [KB:3ftGruUWUzeOeON8fh6p]
- **Land Title:** Commercial under HDA [KB:3ftGruUWUzeOeON8fh6p]
- **Tenure:** Freehold [KB:3ftGruUWUzeOeON8fh6p]
- **Maintenance Fee:** RM0.30 psf (inclusive of sinking fund) [KB:3ftGruUWUzeOeON8fh6p]
- **Total Units:** 1,150 units (Block A: 575 units; Block B: 575 units) [KB:3ftGruUWUzeOeON8fh6p]
- **Total Floors:** 32 storeys per block [KB:3ftGruUWUzeOeON8fh6p]
- **Target Completion / VP Date:** Q3 2027 [KB:3ftGruUWUzeOeON8fh6p]
- **Car Park Allocation:** 2 car parks per unit [KB:3ftGruUWUzeOeON8fh6p]
--- 
### Furnishing Included [KB:3ftGruUWUzeOeON8fh6p]
- Air-conditioners in all bedrooms &amp; living hall
- Storage water heater (Type A: 1 unit shared by 2 bathrooms; Type B &amp; C: 2 units)
- Shower screens &amp; sanitary fittings
- Kitchen cabinet with hood &amp; hob (2 burners)
- 2-door refrigerator
- 2-in-1 washer &amp; dryer
- Digital lock for main door
--- 
### Top Reasons to Buy [KB:ll7s46YxVwtamd6Z3N8M] [KB:3DLYaks48vcHGHtTZwpb]
1. **Proximity to School:** Only 450m opposite SJK(C) La Salle.
2. **Reputable Developer:** Built by UOA Development Bhd, master developer of Bangsar South.
3. **Freehold Land:** Spans 4.72 acres (larger than average 2–3 acre developments).
4. **Quiet Orientation &amp; Views:** Set back slightly from the main highway with open views facing landed residential areas.
5. **Low Competition:** Limited new property launches in Sri Petaling.
6. **Accessible Entry Pricing:** 3-bedroom layout entry starting from RM518,000.
7. **Strategic Mobility:** Direct accessibility via MEX, KESAS, SMART, and KL-Seremban Highway.</t>
        </is>
      </c>
    </row>
    <row r="39" ht="60" customHeight="1">
      <c r="A39" s="19" t="inlineStr">
        <is>
          <t>P32</t>
        </is>
      </c>
      <c r="B39" s="20" t="inlineStr">
        <is>
          <t>Exsim Project</t>
        </is>
      </c>
      <c r="C39" s="19" t="n">
        <v>20</v>
      </c>
      <c r="D39" s="20" t="inlineStr">
        <is>
          <t>chat-46e2303f-a464-4c83-bf65-a31e0fcf3ac8</t>
        </is>
      </c>
      <c r="E39" s="24" t="inlineStr">
        <is>
          <t>Here are the available details for the **Exsim Project** master listing on record:
### Project Overview
* **Developer:** EXSIM Group [KB:tI4eXJccKUxO6eQQKzRG]
* **Area / Location:** Multiple locations, including KL South (Old Klang Road), Bukit Jalil, Damansara Empire, KL City Centre, KL Metropolis, Bukit Ceylon, Ipoh, and Penang
* **Land Title:** Not on record
* **Tenure:** Not on record
* **Maintenance Fee:** Not on record
* **Total Units:** Not on record
* **Total Floors:** Not on record
* **Completion / VP Date:** Not on record
* **Furnishing:** Not on record
* **Car Park Allocation:** Not on record
* **Top Reasons to Buy:** Not on record
---
### Layout Details
*The project record does not carry a formal `unitTypes` pricing table. Layout dimensions from the reference documentation include:*
* **Type A:** 683 sq.ft. | 1+1 Bedrooms [KB:NHnMJZf8Vi8F2b5wUJ6K] | **Nett Price:** Not on record | **Gross Price:** Not on record | **Status:** Not on record
* **Type B1 / B1A:** 841 sq.ft. | 2 Bedrooms [KB:oC9vs6PwaR0LqAIBVNpa] | **Nett Price:** Not on record | **Gross Price:** Not on record | **Status:** Not on record
* **Type B2:** 930 sq.ft. | 3 Bedrooms [KB:oC9vs6PwaR0LqAIBVNpa] | **Nett Price:** Not on record | **Gross Price:** Not on record | **Status:** Not on record
* **Type C1 / C2 / C2A:** 1,280 sq.ft. | 3 Bedrooms (Dual Key) [KB:oC9vs6PwaR0LqAIBVNpa, KB:5HtTnm0e2rOPVX6v8MV0] | **Nett Price:** Not on record | **Gross Price:** Not on record | **Status:** Not on record
* **Type D:** 1,646 sq.ft. | 4+1 Bedrooms [KB:oC9vs6PwaR0LqAIBVNpa, KB:5HtTnm0e2rOPVX6v8MV0] | **Nett Price:** Not on record | **Gross Price:** Not on record | **Status:** Not on record
---
### Additional Marketing Guidelines
* Exsim projects cannot be advertised on agency websites or public platforms displaying the agency name (e.g., PropertyGuru, iProperty) [KB:VDIlTPrdqg9wdf84uQls].
* Advertising on private social media accounts or under MW Group without the agency name is permitted [KB:VDIlTPrdqg9wdf84uQls].
*For specific unit availability, updated pricing, or layout packages for specific Exsim developments (e.g. D'Ivo, Veladaz, Fiddlewoodz), please verify directly with D2 sales admin.*</t>
        </is>
      </c>
    </row>
    <row r="40" ht="60" customHeight="1">
      <c r="A40" s="19" t="inlineStr">
        <is>
          <t>P33</t>
        </is>
      </c>
      <c r="B40" s="20" t="inlineStr">
        <is>
          <t>Kensho @ Taman Desa</t>
        </is>
      </c>
      <c r="C40" s="19" t="n">
        <v>58.4</v>
      </c>
      <c r="D40" s="20" t="inlineStr">
        <is>
          <t>chat-7f780322-d82b-4fe9-98c4-b87f2d5d69b8</t>
        </is>
      </c>
      <c r="E40" s="24" t="inlineStr">
        <is>
          <t>Here are the full project details for **Kensho @ Taman Desa**:
### Layout Details
- **Type B**
  - Size: 707 sqft
  - Bedrooms: 2
  - Nett Price: From RM563,160
  - Gross Price: Not on record
  - Status: **Sold out** [KB:HeooFff1gHRhGuFdaGZY]
- **Type C**
  - Size: 811 sqft
  - Bedrooms: 3
  - Nett Price: From RM624,800
  - Gross Price: Not on record
  - Status: Available
- **Type D1**
  - Size: 1,023 sqft
  - Bedrooms: 3+1
  - Nett Price: From RM808,800 (Sample Unit KR/15/06: SPA Gross RM893,000 / Nett RM759,050 [KB:HeooFff1gHRhGuFdaGZY])
  - Gross Price: Not on record for general range (Sample unit SPA RM893,000 [KB:HeooFff1gHRhGuFdaGZY])
  - Status: Available [KB:HeooFff1gHRhGuFdaGZY]
- **Type D2**
  - Size: 1,034 sqft
  - Bedrooms: 3+1
  - Nett Price: From RM818,000
  - Gross Price: Not on record
  - Status: Available
### Project Specifications &amp; Details
- **Area:** Taman Desa, KL South [KB:kSTSW13s2tkD7aTAaCaU]
- **Developer:** Regal Path Sdn Bhd (a subsidiary of Malton Berhad) / SCP [KB:kSTSW13s2tkD7aTAaCaU]
- **Land Title:** Commercial under HDA [KB:kSTSW13s2tkD7aTAaCaU]
- **Tenure:** Leasehold [KB:kSTSW13s2tkD7aTAaCaU]
- **Maintenance Fee:** RM0.44 psf (inclusive of 10% sinking fund) [KB:kSTSW13s2tkD7aTAaCaU, KB:9oDi4uKUVxFq8gIrWFN5]
- **Total Units:** 310 units
- **Total Floors:** Not on record (Rooftop level is Level 40 [KB:qeh8NMavOhaazNXeq3yS])
- **Expected Completion / Vacant Possession Date:** Q4 2026 [KB:kSTSW13s2tkD7aTAaCaU] (48 months from SPA date [KB:9oDi4uKUVxFq8gIrWFN5])
- **Car Park Allocation:** 1 to 2 parking bays per unit (located LG to Level 7)
- **Furnishing:** Partially furnished (includes digital door lockset, kitchen cabinets with hood, hob, oven &amp; fridge, smart switches/plugs, smart air conditioners, washer-cum-dryer, motorised curtain points, and built-in water heaters)
- **Top Reasons to Buy:**
  1. **Zen Minimalist Lifestyle:** Japanese-inspired modern design with premium facilities including an Onsen hot bath, hydrotherapy spa bed, and rooftop yoga deck [KB:qeh8NMavOhaazNXeq3yS].
  2. **Low-Density Living:** Exclusive 310 units served by 3 lifts per 10 units per floor.
  3. **Smart Home Integration:** Every unit comes equipped with smart home features and motorized curtain points [KB:qeh8NMavOhaazNXeq3yS].</t>
        </is>
      </c>
    </row>
    <row r="41" ht="60" customHeight="1">
      <c r="A41" s="19" t="inlineStr">
        <is>
          <t>P34</t>
        </is>
      </c>
      <c r="B41" s="20" t="inlineStr">
        <is>
          <t>Aetas Taman Desa</t>
        </is>
      </c>
      <c r="C41" s="19" t="n">
        <v>31.5</v>
      </c>
      <c r="D41" s="20" t="inlineStr">
        <is>
          <t>chat-237fad40-bc9f-453d-b7a3-507ab3a3422e</t>
        </is>
      </c>
      <c r="E41" s="24" t="inlineStr">
        <is>
          <t>Here are the details for **Aetas Taman Desa** (Project ID: `vo8AyKLc2F9xo0T51c9I`):
### Layout Summary
*Note: Structured per-layout pricing table (`unitTypes`) is not on record for this project. Overall configurations range from 3+1, 4+1 to 5+1 bedrooms [KB:FRh1y87g9a2eddmD2euO]. Gross and nett prices per layout unit are not on record.* 
* **Type A**: 3,800 sq ft [KB:xhDFxqpjnDdp7rat456y] | Bedrooms: Not on record | Gross Price: Not on record | Nett Price: Not on record | Car Parks: 4–5 bays
* **Type B**: 3,400 sq ft [KB:xhDFxqpjnDdp7rat456y] | Bedrooms: Not on record | Gross Price: Not on record | Nett Price: Not on record | Car Parks: 4 bays
* **Type C**: 2,900 sq ft [KB:xhDFxqpjnDdp7rat456y] | Bedrooms: Not on record | Gross Price: Not on record | Nett Price: Not on record | Car Parks: 4 bays
* **Type D**: 2,400 sq ft [KB:xhDFxqpjnDdp7rat456y] | Bedrooms: Not on record | Gross Price: Not on record | Nett Price: Not on record | Car Parks: 3 bays
* **Penthouse (2 units)**: ~7,000 sq ft (pending finalisation) [KB:2CX9SiQAztP1XfWScPhr] | Bedrooms: Not on record | Gross Price: Not on record | Nett Price: Not on record | Car Parks: Not on record
### Project Specifications &amp; Details
* **Area**: Taman Desa, KL South (dual access via Jalan Morib and Jalan Teluk Gadung)
* **Developer**: Avaland (referred to in project appointment documents; formal entity detail not on record)
* **Land Title**: Residential (specific title type not on record)
* **Tenure**: Freehold [KB:2CX9SiQAztP1XfWScPhr]
* **Maintenance Fee**: RM0.55 psf (inclusive of sinking fund)
* **Total Units**: 217 units across 2 towers [KB:FRh1y87g9a2eddmD2euO]
* **Total Floors**: 31 floors
* **Completion / VP Date**: Expected Q1 2031 (54 months from SPA)
* **Car Park Allocation**: 3 to 5 bays depending on unit size (Type A: 4–5, Type B &amp; C: 4, Type D: 3)
* **Furnishing**: Partially fitted with ducted air-conditioning in living, dining &amp; master bedroom, split AC in other bedrooms, built-in storage water heaters in all bathrooms (except maid's bath), dual sinks &amp; bathtub in master bathrooms (Type A, B &amp; C), and smart-home ready neutral cabling [KB:2CX9SiQAztP1XfWScPhr]. Full loose furnishing package is not on record.
### Top Reasons to Buy
1. **Ultra-Low Density**: Only 217 units across 3.93 acres of freehold land (55 units/acre) [KB:2CX9SiQAztP1XfWScPhr], [KB:FRh1y87g9a2eddmD2euO].
2. **Private Lift Lobby**: Every unit features a private lift lobby with natural light and ventilation [KB:2CX9SiQAztP1XfWScPhr], [KB:FRh1y87g9a2eddmD2euO].
3. **Dual Access &amp; Security**: Two separate entrances via Jalan Morib and Jalan Teluk Gadung with dual guardhouses [KB:FRh1y87g9a2eddmD2euO].
4. **Generous Family Layouts**: Unit sizes start from 2,400 sf up to 3,800 sf with hackable layout flexibility (Type C &amp; D can combine to 5,300 sf) [KB:2CX9SiQAztP1XfWScPhr], [KB:FRh1y87g9a2eddmD2euO].
5. **Mobility-Friendly &amp; Green Standards**: Seamless flush floors, wheelchair-friendly bathrooms, GreenRE Platinum rating, and EV charging readiness with personal isolators [KB:2CX9SiQAztP1XfWScPhr], [KB:FRh1y87g9a2eddmD2euO].
6. **Fengshui Endorsed**: Endorsed by Dato' Joey Yap [KB:xhDFxqpjnDdp7rat456y].</t>
        </is>
      </c>
    </row>
    <row r="42" ht="60" customHeight="1">
      <c r="A42" s="19" t="inlineStr">
        <is>
          <t>P35</t>
        </is>
      </c>
      <c r="B42" s="20" t="inlineStr">
        <is>
          <t>Southpoint Residences (IGB )</t>
        </is>
      </c>
      <c r="C42" s="19" t="n">
        <v>28.9</v>
      </c>
      <c r="D42" s="20" t="inlineStr">
        <is>
          <t>chat-d6241b7d-13c3-45f7-b0b5-15f2af864b62</t>
        </is>
      </c>
      <c r="E42" s="24" t="inlineStr">
        <is>
          <t>Here are the details for **Southpoint Residences (IGB )** based on the official project record:
### Layouts &amp; Pricing
*Note: The sales package specifies no discount and no rebate. Separate nett and gross price breakdowns are not on record; starting prices are listed below.*
| Layout Type | Size (sqft) | Bedrooms | Starting Price | Nett Price | Gross Price | Status |
|---|---|---|---|---|---|---|
| **Type C** | 1,119 | 2 | From RM1,740,000 | Not on record | Not on record | Available |
| **Type D** | 1,636 | 3 | From RM2,380,000 | Not on record | Not on record | Available |
| **Type E** | 2,282 | 3+1 | From RM3,210,000 | Not on record | Not on record | Available |
| **Type E1** | 2,303 | 3+1 | From RM3,260,000 | Not on record | Not on record | Available |
| **Type A3 &amp; B3** | 2,347 | 3+1 | From RM3,490,000 | Not on record | Not on record | Available |
| **Type A2** | 2,809 | 3+1 | From RM4,270,000 | Not on record | Not on record | Available |
| **Type B2** | 3,477 | 5+1 | From RM5,260,000 | Not on record | Not on record | Available |
| **Type A1** | 5,210 | 5+1 | Private Invitation Only | Not on record | Not on record | Available (Private Invitation) |
| **Type B1** | 5,877 | 5+1 | Private Invitation Only | Not on record | Not on record | Available (Private Invitation) |
### Project Specifications
- **Area:** Menara Southpoint, Mid Valley City, Kuala Lumpur [KB:y18Gd4UFTe1XPdrCupEZ]
- **Developer:** MVCSP Sdn Bhd (a subsidiary of IGB Group) [KB:y18Gd4UFTe1XPdrCupEZ]
- **Land Title:** Not on record (Property Type: Serviced Apartment)
- **Tenure:** Leasehold (expiry 21 March 2120) [KB:y18Gd4UFTe1XPdrCupEZ]
- **Maintenance Fee:** RM0.70 psf (ownership area — inclusive of car park &amp; sinking fund) [KB:y18Gd4UFTe1XPdrCupEZ]
- **Total Units:** 172 units [KB:y18Gd4UFTe1XPdrCupEZ]
- **Total Floors:** 59 floors
- **Completion / Vacant Possession Date:** Completed / VP issued (exact date not on record)
- **Top Reasons to Buy:** Not on record
- **Furnishing:** Optional ID package available for Type C (RM100k) and Type D (RM150k) [KB:xIGli3KZwqonjDCLDbI0]; default unit furnishing specifications are not on record.
- **Car Park Allocation:** 2 car parks specified for Type C [KB:FLco6lptV0OJPEEieo6Q]; car park allocations for other layouts are not on record.</t>
        </is>
      </c>
    </row>
    <row r="43" ht="60" customHeight="1">
      <c r="A43" s="19" t="inlineStr">
        <is>
          <t>P36</t>
        </is>
      </c>
      <c r="B43" s="20" t="inlineStr">
        <is>
          <t>Park Green at Pavilion Bukit Jalil</t>
        </is>
      </c>
      <c r="C43" s="19" t="n">
        <v>28.9</v>
      </c>
      <c r="D43" s="20" t="inlineStr">
        <is>
          <t>chat-53dcb526-ab83-4dbb-9afb-7c547a35dce0</t>
        </is>
      </c>
      <c r="E43" s="24" t="inlineStr">
        <is>
          <t>Here are the project details for **Park Green at Pavilion Bukit Jalil**:
### **Layout Details**
Per-layout breakdown of nett and gross prices is **not on record** (overall project list price range on record is **RM1,040,000 – RM2,229,790**). None of the listed layouts are marked sold out:
* **1,201 sq. ft.** | 3 Bedrooms, 2 Bathrooms | Nett Price: *not on record* | Gross Price: *not on record* | Status: Available
* **1,408 sq. ft.** | 3 Bedrooms, 2 Bathrooms | Nett Price: *not on record* | Gross Price: *not on record* | Status: Available
* **1,485 sq. ft.** | 3 Bedrooms, 2 Bathrooms | Nett Price: *not on record* | Gross Price: *not on record* | Status: Available
* **1,501 sq. ft.** | 3 Bedrooms, 2 Bathrooms | Nett Price: *not on record* | Gross Price: *not on record* | Status: Available
* **1,627 sq. ft.** | 3 Bedrooms, 2 Bathrooms | Nett Price: *not on record* | Gross Price: *not on record* | Status: Available
* **1,905 sq. ft.** | 4 Bedrooms, 3 Bathrooms | Nett Price: *not on record* | Gross Price: *not on record* | Status: Available
---
### **Project Specifications**
* **Area / Location:** Persiaran Jalil Utama, next to Pavilion Bukit Jalil, Bukit Jalil [KB:31Yf7ZiVhnSC7pwYZEMQ]
* **Developer:** Regal Path Sdn Bhd (a subsidiary of Malton Berhad) [KB:31Yf7ZiVhnSC7pwYZEMQ]
* **Land Title:** Commercial Title (Serviced Apartment) [KB:mUqS9VEt1KIT6alQj9dD]
* **Tenure:** Freehold [KB:31Yf7ZiVhnSC7pwYZEMQ]
* **Maintenance Fee:** RM0.44 psf (inclusive of sinking fund) [KB:31Yf7ZiVhnSC7pwYZEMQ]
* **Total Units:** 453 units [KB:31Yf7ZiVhnSC7pwYZEMQ]
* **Total Floors:** 47 storeys [KB:31Yf7ZiVhnSC7pwYZEMQ]
* **Target Completion / VP Date:** Q2 2029
---
### **Top Reasons to Buy**
* **Direct Pavilion Link:** Dedicated pedestrian bridge directly to Pavilion Bukit Jalil [KB:mUqS9VEt1KIT6alQj9dD] [KB:3280lAF4e8FfW2hkaOJE].
* **Final Masterpiece:** The crowning final residential development within the 50-acre Bukit Jalil City masterplan [KB:9HElQOWKhS6z5h6zEYib] [KB:mUqS9VEt1KIT6alQj9dD].
* **Park Views &amp; Access:** Panoramic views and steps away from the 80-acre Bukit Jalil Recreational Park [KB:9HElQOWKhS6z5h6zEYib].
* **Exclusive Concierge:** Access to bespoke complimentary and on-demand concierge services [KB:9HElQOWKhS6z5h6zEYib].
---
### **Furnishing &amp; Parking Allocation**
* **Furnishing:** Partly furnished
  * Kitchen cabinets with cooking hood &amp; hob (wet kitchen only)
  * Air-conditioners for living room &amp; all bedrooms
  * Digital lockset
  * 2-in-1 washer dryer
  * Vanity cabinets &amp; countertop in all bathrooms
  * Shower screens with doors in all bathrooms
  * Storage water heater in master bathroom
* **Car Park Allocation:**
  * 1,201 – 1,627 sq. ft. layouts: **2 car parks**
  * 1,905 sq. ft. layout: **2 to 3 car parks**</t>
        </is>
      </c>
    </row>
    <row r="44" ht="60" customHeight="1">
      <c r="A44" s="19" t="inlineStr">
        <is>
          <t>P37</t>
        </is>
      </c>
      <c r="B44" s="20" t="inlineStr">
        <is>
          <t>OAKA Residences, Bukit Jalil</t>
        </is>
      </c>
      <c r="C44" s="19" t="n">
        <v>23</v>
      </c>
      <c r="D44" s="20" t="inlineStr">
        <is>
          <t>chat-68d92c84-c289-4302-9c51-a00b45358a5f</t>
        </is>
      </c>
      <c r="E44" s="24" t="inlineStr">
        <is>
          <t>### **OAKA Residences, Bukit Jalil (Project ID: vTsTFUTt5BYDltcvqEs2)**
#### **Layout Overview**
- **Type A**: 882 sqft | 2 Bedrooms | Nett Price: Overall project pricing from RM750,000 to RM1,400,000 nett (approx. RM800–RM1,000 psf nett) [KB:S95BlLamPdtmkc3gOeFW] | Gross Price: Not on record | Status: Available
- **Type B1/B2**: 1,182 sqft | 2+1 Bedrooms | Nett Price: Overall project pricing range applies | Gross Price: Not on record | Status: Available
- **Type B3**: 1,175 sqft | 2+1 Bedrooms (with lanai) | Nett Price: Overall project pricing range applies | Gross Price: Not on record | Status: Available
- **Type C**: 1,423 sqft | 3 Bedrooms | Nett Price: Overall project pricing range applies | Gross Price: Not on record | Status: Available
*Note: Specific per-layout gross prices and individual unit price breakdowns are not on record; overall project nett pricing ranges from RM750,000 to RM1,400,000 [KB:S95BlLamPdtmkc3gOeFW]. None of the layouts are listed as sold out in the system record.*
---
#### **Project Details**
- **Area**: Jalan Jalil Perkasa, Bukit Jalil, Kuala Lumpur [KB:S95BlLamPdtmkc3gOeFW] [KB:1CC5O0bZQntqFom3zMzB]
- **Developer**: Berjaya Hartanah Berhad [KB:1CC5O0bZQntqFom3zMzB]
- **Land Title**: Residential [KB:S95BlLamPdtmkc3gOeFW] [KB:1CC5O0bZQntqFom3zMzB]
- **Tenure**: Freehold [KB:S95BlLamPdtmkc3gOeFW] [KB:1CC5O0bZQntqFom3zMzB]
- **Maintenance Fee**: RM0.51 psf [KB:S95BlLamPdtmkc3gOeFW] [KB:1CC5O0bZQntqFom3zMzB]
- **Total Units**: 350 units (175 units per tower) [KB:S95BlLamPdtmkc3gOeFW] [KB:1CC5O0bZQntqFom3zMzB]
- **Total Floors**: 31 Storeys (Tower A &amp; Tower B) [KB:S95BlLamPdtmkc3gOeFW] [KB:1CC5O0bZQntqFom3zMzB]
- **Completion / Vacant Possession Date**: Q1 2028 [KB:S95BlLamPdtmkc3gOeFW] [KB:1CC5O0bZQntqFom3zMzB]
- **Furnishing**: Semi-furnished (includes wet &amp; dry kitchen cabinets with cooking hood &amp; hob, air-conditioners for living room and all bedrooms, shower screen &amp; vanity cabinets in all bathrooms) [KB:S95BlLamPdtmkc3gOeFW]
- **Car Park Allocation**: All side-by-side bays — 2 parking bays for standard units (Types A &amp; B); 3 parking bays for Type C units (EV charging facilities available) [KB:S95BlLamPdtmkc3gOeFW]
---
#### **Top Reasons to Buy**
1. Right beside golf course with scenic green golf views [KB:M3t2cqFP5Jmj6QLBdrt5]
2. Freehold, low density (only 350 units across 2.2 acres)
3. 1km to Bukit Jalil Recreational Park &amp; Berjaya Golf Club
4. 1.5km to Pavilion Bukit Jalil Mall
5. Walkable to The Esplanade commercial area
6. All units feature both wet and dry kitchens, balcony, and yard
7. Premium own-stay design with strong capital growth potential
8. 3 levels of resort-style facilities (Level G, Level 5 podium, Level 31 rooftop sky facilities) [KB:S95BlLamPdtmkc3gOeFW]
9. Built by Berjaya Group, the master developer of Bukit Jalil
10. 1 hospital, 2 LRT stations, 2 parks, 3 schools, and 4 major highways within a 2km radius</t>
        </is>
      </c>
    </row>
    <row r="45" ht="60" customHeight="1">
      <c r="A45" s="19" t="inlineStr">
        <is>
          <t>P38</t>
        </is>
      </c>
      <c r="B45" s="20" t="inlineStr">
        <is>
          <t>Senja The Jewel Collection</t>
        </is>
      </c>
      <c r="C45" s="19" t="n">
        <v>25</v>
      </c>
      <c r="D45" s="20" t="inlineStr">
        <is>
          <t>chat-7cd33eb1-7fec-4bd0-b4bf-f7724aa77e8a</t>
        </is>
      </c>
      <c r="E45" s="24" t="inlineStr">
        <is>
          <t>Here are the details for **Senja The Jewel Collection** (Project ID: `fB42TF3RMB3MkgthiAB7`):
### **Layout Details**
- **Phase 1 (114 units)**: Sold Out [KB:KvQcdjB14HtRIuR0N8WP]
- **Superlink**:
  - **Size**: 3,473 sqft [KB:KvQcdjB14HtRIuR0N8WP]
  - **Bedrooms**: 4+1 rooms [KB:KvQcdjB14HtRIuR0N8WP]
  - **Gross Price**: RM1,700,000 [KB:KvQcdjB14HtRIuR0N8WP]
  - **Nett Price**: Not on record (7% Bumi discount &amp; package rebates apply [KB:9J5h0jl5yw0mORXPq3e8])
- **Semi-D** (6 Layouts):
  - **Size**: 6,743 sqft [KB:KvQcdjB14HtRIuR0N8WP]
  - **Bedrooms**: 5+1 rooms [KB:KvQcdjB14HtRIuR0N8WP]
  - **Gross Price**: RM2,200,000 – RM2,500,000 [KB:KvQcdjB14HtRIuR0N8WP]
  - **Nett Price**: Not on record (Rebates: 7%+2% for units 115–129, 5%+2% for units 131–177, plus 7% Bumi discount [KB:9J5h0jl5yw0mORXPq3e8])
- **Zero Lot Bungalow**:
  - **Size**: 4,924 sqft [KB:KvQcdjB14HtRIuR0N8WP]
  - **Bedrooms**: 5+1 rooms [KB:KvQcdjB14HtRIuR0N8WP]
  - **Gross Price**: RM2,500,000 – RM3,000,000 [KB:KvQcdjB14HtRIuR0N8WP]
  - **Nett Price**: Not on record (7%+2% rebate, plus 7% Bumi discount [KB:9J5h0jl5yw0mORXPq3e8])
---
### **Project Specifications**
- **Area**: The Mines Resort City, Seri Kembangan, Selangor [KB:KvQcdjB14HtRIuR0N8WP]
- **Developer**: BRDB (Designed by GDP Architect) [KB:KvQcdjB14HtRIuR0N8WP], [KB:0vRAFiw6drro0qftmg97]
- **Land Title**: Residential Strata [KB:KvQcdjB14HtRIuR0N8WP]
- **Tenure**: Leasehold 88 years [KB:KvQcdjB14HtRIuR0N8WP]
- **Maintenance Fee**: RM0.48 per share unit [KB:KvQcdjB14HtRIuR0N8WP]
  - Superlink: RM450 – RM550 / month [KB:KvQcdjB14HtRIuR0N8WP]
  - Semi-D: RM1,000 – RM1,300 / month [KB:KvQcdjB14HtRIuR0N8WP]
  - Zero Lot Bungalow: RM1,500 – RM1,800 / month [KB:KvQcdjB14HtRIuR0N8WP]
- **Total Units**: 278 units (114 Phase 1 sold out, 83 Phase 2 currently available) [KB:KvQcdjB14HtRIuR0N8WP]
- **Total Floors**: Not on record
- **Completion / Vacant Possession Date**: Target Q1 2026 (Schedule G, 36 months) [KB:KvQcdjB14HtRIuR0N8WP], [KB:9J5h0jl5yw0mORXPq3e8]
- **Furnishing**: Bare unit with aircon piping, full bathroom fittings &amp; tiles, bathtub for Semi-D &amp; Bungalow, master bathroom hot &amp; cold piping, provision for lift, EV provision, and OKU-friendly ground floor room [KB:9J5h0jl5yw0mORXPq3e8]
- **Car Park Allocation**: Not on record
---
### **Key Highlights / Reasons to Buy**
- **Reputable Developer**: Developed by BRDB with architecture by GDP Architect [KB:0vRAFiw6drro0qftmg97]
- **Clubhouse Facilities**: Exclusive access to pool, kids pool, gym, tennis court, sauna, games room, library/co-working space, and meeting room [KB:KvQcdjB14HtRIuR0N8WP]
- **Accessibility &amp; Amenities**: Near Australian International School (750m), The Mines Shopping Mall (2km), Pavilion Bukit Jalil (9km), and IOI City Mall (10km) [KB:0vRAFiw6drro0qftmg97]</t>
        </is>
      </c>
    </row>
    <row r="46" ht="60" customHeight="1">
      <c r="A46" s="19" t="inlineStr">
        <is>
          <t>P39</t>
        </is>
      </c>
      <c r="B46" s="20" t="inlineStr">
        <is>
          <t>18 Madge Uthant</t>
        </is>
      </c>
      <c r="C46" s="19" t="n">
        <v>22</v>
      </c>
      <c r="D46" s="20" t="inlineStr">
        <is>
          <t>chat-047685a1-2925-40d6-9ec2-5e56687ec73a</t>
        </is>
      </c>
      <c r="E46" s="24" t="inlineStr">
        <is>
          <t>Here are the project details for **18 Madge Uthant** (18 Madge Onsen Suites):
### Project Overview
- **Area:** Jalan Madge, Taman U-Thant / Ampang Hilir [KB:e5Yz5WqO18NYwpanbpov], [KB:SDu5ub4q7C4oTEhfHcHB]
- **Developer:** Goodpark Development Sdn Bhd (subsidiary of KSL Holdings Bhd) [KB:SDu5ub4q7C4oTEhfHcHB]
- **Land Title:** Residential [KB:e5Yz5WqO18NYwpanbpov], [KB:SDu5ub4q7C4oTEhfHcHB]
- **Tenure:** Freehold [KB:e5Yz5WqO18NYwpanbpov], [KB:SDu5ub4q7C4oTEhfHcHB]
- **Maintenance Fee:** RM0.55 psf (inclusive of sinking fund) [KB:e5Yz5WqO18NYwpanbpov], [KB:SDu5ub4q7C4oTEhfHcHB]
- **Total Units:** 50 units (1 tower) [KB:e5Yz5WqO18NYwpanbpov], [KB:SDu5ub4q7C4oTEhfHcHB]
- **Total Floors:** 10 storeys + 3 basement levels + rooftop [KB:e5Yz5WqO18NYwpanbpov]
- **Completion / Vacant Possession Date:** Q4 2022 (Completed / VP) [KB:e5Yz5WqO18NYwpanbpov], [KB:SDu5ub4q7C4oTEhfHcHB]
- **Furnishing:** Bare units (except show units which come furnished) [KB:SDu5ub4q7C4oTEhfHcHB]
- **Car Park Allocation:** 2 car parks for Units #3, 4, 5; 3 car parks for Units #1, 2, 6 (Levels B1–B3, single bays) [KB:2I29n0SlrVYBwFAKVES0], [KB:SDu5ub4q7C4oTEhfHcHB]
- **Top Reasons to Buy:** Not on record
### Layout Breakdown
- **Per-Layout Table (Sizes, Bedrooms, Gross/Nett Prices, Sold Out Status per unit type):** Not on record (the system record does not contain a per-layout breakdown table).
- **General Layout Information:** Built-up sizes range from 2,238 sq ft to 14,813 sq ft [KB:SDu5ub4q7C4oTEhfHcHB], with overall pricing starting from RM2,260,000 (approx. RM1,020 psf) [KB:SDu5ub4q7C4oTEhfHcHB]. A 2,787 sq ft furnished show unit is listed for RM3,253,842 nett [KB:SDu5ub4q7C4oTEhfHcHB].</t>
        </is>
      </c>
    </row>
    <row r="47" ht="60" customHeight="1">
      <c r="A47" s="19" t="inlineStr">
        <is>
          <t>P40</t>
        </is>
      </c>
      <c r="B47" s="20" t="inlineStr">
        <is>
          <t>Aria Luxury Residence @ KLCC</t>
        </is>
      </c>
      <c r="C47" s="19" t="n">
        <v>19</v>
      </c>
      <c r="D47" s="20" t="inlineStr">
        <is>
          <t>chat-496b6606-f224-434f-839d-f310546ad45e</t>
        </is>
      </c>
      <c r="E47" s="24" t="inlineStr">
        <is>
          <t>### Layout Breakdown
No per-layout table (sizes, bedrooms, nett/gross prices) is on record for this project.
### Project Details — Aria Luxury Residence @ KLCC
- **Area / Location**: Jalan Tun Razak, near KLCC, Kuala Lumpur city centre [KB:6yohTj3eyEiCKRjEOayZ]
- **Developer**: Not on record
- **Land Title**: Commercial under HDA
- **Maintenance Fee**: RM0.55 psf (including sinking fund) [KB:6yohTj3eyEiCKRjEOayZ]
- **Tenure**: Freehold [KB:3sWCmeQWpGPx8oKMvFkg]
- **Total Units**: 598 units in 2 towers [KB:6yohTj3eyEiCKRjEOayZ]
- **Total Floors**: Not on record
- **Completion / Vacant Possession Date**: Not on record
- **Furnishing**: Fully furnished units mentioned [KB:6yohTj3eyEiCKRjEOayZ]
- **Car Park Allocation**: Not on record
### Top Reasons to Buy
- **Proximity to Transit &amp; Park**: 650m / 7-minute walk to KLCC East / Conlay MRT Station and 900m to 50-acre KLCC Park [KB:6yohTj3eyEiCKRjEOayZ].
- **Prime Location**: Surrounded by 29 embassies within 1km and over 168 office towers within the Golden Triangle [KB:6yohTj3eyEiCKRjEOayZ].
- **Exclusive &amp; Low Density**: 2 lifts serving 2–3 units only; only 598 total units on 1.98 acres of freehold land [KB:6yohTj3eyEiCKRjEOayZ].
- **Concierge &amp; Security**: 24-hour full-fledged concierge service and 6-tier security by GDSS Security Consultants [KB:6yohTj3eyEiCKRjEOayZ].
- **Extensive Facilities**: 65,000 sq ft of facilities and leisure spaces in the city centre [KB:6yohTj3eyEiCKRjEOayZ].</t>
        </is>
      </c>
    </row>
    <row r="48" ht="60" customHeight="1">
      <c r="A48" s="19" t="inlineStr">
        <is>
          <t>P41</t>
        </is>
      </c>
      <c r="B48" s="20" t="inlineStr">
        <is>
          <t>AT6 Residensi @ Ampang Tengah</t>
        </is>
      </c>
      <c r="C48" s="19" t="n">
        <v>17.2</v>
      </c>
      <c r="D48" s="20" t="inlineStr">
        <is>
          <t>chat-6a3bcf9d-010c-46d5-8a7c-9d5011d8d1f1</t>
        </is>
      </c>
      <c r="E48" s="24" t="inlineStr">
        <is>
          <t>Here are the details for **AT6 Residensi @ Ampang Tengah**:
### Layouts
- **Type A** [KB:nPWl0XFCWa7H3elxD7RD]
  - **Size:** 2,799 sqft
  - **Bedrooms:** 4 rooms + maid's room + 3 store rooms
  - **Gross Price:** Not on record (rate starts from RM1,276 psf)
  - **Nett Price:** Not on record
  - **Status:** Availability / sold out status not on record
- **Type B** [KB:nPWl0XFCWa7H3elxD7RD]
  - **Size:** 3,509 sqft
  - **Bedrooms:** 4 rooms + maid's room + family room + 3 store rooms
  - **Gross Price:** Not on record (rate starts from RM1,276 psf)
  - **Nett Price:** Not on record
  - **Status:** Availability / sold out status not on record
### Project Specifications
- **Area:** Jalan Ampang Tengah, near Royal Selangor Golf Club [KB:nPWl0XFCWa7H3elxD7RD, KB:iMlcSLGk62EMOdqN2Gfv]
- **Developer:** Boulevard Realty Sdn. Bhd. [KB:nPWl0XFCWa7H3elxD7RD]
- **Land Title:** Not on record
- **Maintenance Fee:** RM0.45 psf (+ RM0.05 psf sinking fund) [KB:nPWl0XFCWa7H3elxD7RD]
- **Tenure:** Freehold [KB:nPWl0XFCWa7H3elxD7RD]
- **Total Units:** 35 units [KB:nPWl0XFCWa7H3elxD7RD]
- **Total Floors:** 20 floors [KB:nPWl0XFCWa7H3elxD7RD]
- **Completion / Vacant Possession Date:** March 2023 (VP completed) [KB:nPWl0XFCWa7H3elxD7RD]
- **Top Reasons to Buy:** Not on record
- **Furnishing:** Partially furnished (furnished wet kitchen, air conditioning, quality flooring) [KB:nPWl0XFCWa7H3elxD7RD]
- **Car Park Allocation:** 2 to 3 car park bays per unit (basement with power sockets) [KB:nPWl0XFCWa7H3elxD7RD]</t>
        </is>
      </c>
    </row>
    <row r="49" ht="60" customHeight="1">
      <c r="A49" s="19" t="inlineStr">
        <is>
          <t>P42</t>
        </is>
      </c>
      <c r="B49" s="20" t="inlineStr">
        <is>
          <t>Clouthaus KLCC</t>
        </is>
      </c>
      <c r="C49" s="19" t="n">
        <v>28.2</v>
      </c>
      <c r="D49" s="20" t="inlineStr">
        <is>
          <t>chat-80a4869e-5114-4025-853c-3f47f145e9d5</t>
        </is>
      </c>
      <c r="E49" s="24" t="inlineStr">
        <is>
          <t>### **Clouthaus KLCC (Project ID: oWzA0mi4GKdPIsZ4ioYJ)**
#### **Layout Details &amp; Pricing**
* **Layout Table (unitTypes):** Not on record. (There is no itemised layout breakdown table on record for specific unit types, individual bedroom counts, gross prices, nett prices, or sold-out status per unit).
* **Size Range:** 1,098 sqft to 2,500 sqft (Type B showroom is 1,098 sqft; 3 units facing KLCC/back can be combined up to ~2,500 sqft) [KB:vRti9dp1xx5yRp4m86Pz].
* **Bedrooms:** Not on record per unit type. (Dual key conversion available for 1+1 bedrooms) [KB:vRti9dp1xx5yRp4m86Pz].
* **Nett &amp; Gross Price per Layout:** Not on record. Overall rate ranges from ~RM2,900 psf (mid floor) to ~RM3,100 psf (small units / high floor above 40th) [KB:vRti9dp1xx5yRp4m86Pz].
* **Sold Out Status:** Not on record.
#### **Project Specifications**
* **Area:** Jalan Ampang, Menara TA compound, KLCC area, Kuala Lumpur
* **Developer:** TA Global [KB:vRti9dp1xx5yRp4m86Pz]
* **Land Title:** Commercial
* **Maintenance Fee:** RM0.80 psf [KB:cwbasvrpos7i0O4FGKZ6]
* **Tenure:** Freehold
* **Total Units:** 615 units [KB:cwbasvrpos7i0O4FGKZ6]
* **Total Floors:** 64 storeys [KB:KnVwhJRGzJ3D3HTjGSja]
* **Completion / VP Date:** Target completion 2029 (54-month SPA tenure) [KB:KnVwhJRGzJ3D3HTjGSja]
* **Top Reasons to Buy:** Not on record (please contact D2 sales admin for marketing selling points)
* **Furnishing:** Partly Furnished (includes full air-conditioning, full kitchen with Gaggenau appliances, full bathrooms with Laufen sanitaryware, full wardrobes in all rooms, Yale digital lock, marble flooring). Dual key units require Fully Furnished package [KB:vRti9dp1xx5yRp4m86Pz].
* **Car Park Allocation:** No designated car park allocated; right to use car park space estimated at ~RM200/month [KB:cwbasvrpos7i0O4FGKZ6].</t>
        </is>
      </c>
    </row>
    <row r="50" ht="60" customHeight="1">
      <c r="A50" s="19" t="inlineStr">
        <is>
          <t>P43</t>
        </is>
      </c>
      <c r="B50" s="20" t="inlineStr">
        <is>
          <t>Conlay by E&amp;O</t>
        </is>
      </c>
      <c r="C50" s="19" t="n">
        <v>32</v>
      </c>
      <c r="D50" s="20" t="inlineStr">
        <is>
          <t>chat-eb11b221-d7ed-4d1a-a8eb-44a21611902a</t>
        </is>
      </c>
      <c r="E50" s="24" t="inlineStr">
        <is>
          <t>### Conlay by E&amp;O — Project Details
#### Layout Overview
*Overall starting price on record: From RM2,260,000 (approx. RM1,020 psf). Show Unit (2,787 sqft) listed at RM3,253,842 nett. Per-layout gross/nett price breakdowns and sold-out status per unit type are **not on record**.*
- **Type A1**: 743 sqft | 1 Bedroom | Gross price: not on record | Nett price: not on record | Status: not on record
- **Type A2**: 904 sqft | 1 Bedroom | Gross price: not on record | Nett price: not on record | Status: not on record
- **Type B**: 732 sqft | 1+1 Bedrooms | Gross price: not on record | Nett price: not on record | Status: not on record
- **Type B1**: 743 sqft | 1+1 Bedrooms | Gross price: not on record | Nett price: not on record | Status: not on record
- **Type B2**: 840 sqft | 1+1 Bedrooms | Gross price: not on record | Nett price: not on record | Status: not on record
- **Type B3**: 980 sqft | 1+1 Bedrooms | Gross price: not on record | Nett price: not on record | Status: not on record
- **Type B4**: 1,066 sqft | 1+1 Bedrooms | Gross price: not on record | Nett price: not on record | Status: not on record
- **Type B5**: 1,109 sqft | 1+1 Bedrooms | Gross price: not on record | Nett price: not on record | Status: not on record
- **Type D**: 1,335 sqft | 2+1 Bedrooms | Gross price: not on record | Nett price: not on record | Status: not on record
- **Type D1**: 1,389 sqft | 2+1 Bedrooms | Gross price: not on record | Nett price: not on record | Status: not on record
- **Type D2**: 1,432 sqft | 2+1 Bedrooms | Gross price: not on record | Nett price: not on record | Status: not on record
#### Key Specifications
- **Area**: KLCC (Jalan Conlay) [KB:56DmBKa1RdExB0Vt3uvg]
- **Developer**: Patsawan Properties Sdn Bhd / Orion Tower Sdn. Bhd [KB:56DmBKa1RdExB0Vt3uvg]
- **Land Title**: Commercial Title [KB:56DmBKa1RdExB0Vt3uvg]
- **Tenure**: Freehold [KB:56DmBKa1RdExB0Vt3uvg]
- **Maintenance Fee**: Approx. RM0.80 psf [KB:56DmBKa1RdExB0Vt3uvg]
- **Total Units**: 491 units (1 tower) [KB:56DmBKa1RdExB0Vt3uvg]
- **Total Floors**: 51 floors [KB:56DmBKa1RdExB0Vt3uvg]
- **Completion / VP Date**: Q1 2024 [KB:56DmBKa1RdExB0Vt3uvg]
- **Furnishing**: Fully furnished (Complimentary fully furnished package) [KB:56DmBKa1RdExB0Vt3uvg]
- **Car Park Allocation**: not on record
#### Top Reasons to Buy [KB:56DmBKa1RdExB0Vt3uvg]
1. Designed by world-renowned architect Kerry Hill (designer of Aman Tokyo, Amanpuri Thailand, and Datai Langkawi).
2. Fully furnished designer residence maintaining a luxury living experience.
3. Located just 220m from Prince Court Medical Centre.
4. Only 280m from MRT Conlay station (1 stop away from TRX financial district).
5. Offers panoramic views of Royal Selangor Golf Club, TRX, and the KL city skyline.
6. Joint development involving E&amp;O.
7. 3-minute drive to Pavilion KL shopping mall.</t>
        </is>
      </c>
    </row>
    <row r="51" ht="60" customHeight="1">
      <c r="A51" s="19" t="inlineStr">
        <is>
          <t>P44</t>
        </is>
      </c>
      <c r="B51" s="20" t="inlineStr">
        <is>
          <t>Core Residence @ TRX</t>
        </is>
      </c>
      <c r="C51" s="19" t="n">
        <v>42</v>
      </c>
      <c r="D51" s="20" t="inlineStr">
        <is>
          <t>chat-1ec3af57-595a-468a-a3b5-562005e0dce0</t>
        </is>
      </c>
      <c r="E51" s="24" t="inlineStr">
        <is>
          <t>Here are the details for **Core Residence @ TRX** (Project ID: CSNSOM3sg4JsxS4Nfcxn):
### Project Overview
- **Developer:** CCCG joint-venture with WCT [KB:O8r6k2jrVEcf9zXLSAKC]
- **Area / Location:** Tun Razak Exchange (TRX), Postcode 55188, Kuala Lumpur [KB:O8r6k2jrVEcf9zXLSAKC]
- **Land Title:** Commercial under HDA [KB:O8r6k2jrVEcf9zXLSAKC]
- **Tenure:** Freehold [KB:O8r6k2jrVEcf9zXLSAKC]
- **Total Units:** 580 residential units across Tower 1 &amp; Tower 2 (plus 120 hotel suites in Tower 3) [KB:O8r6k2jrVEcf9zXLSAKC]
- **Total Floors:** Tower 1: 50 floors | Tower 2: 47 floors [KB:O8r6k2jrVEcf9zXLSAKC]
- **Completion / VP Date:** Q4 2023 (VP Completed) [KB:O8r6k2jrVEcf9zXLSAKC]
- **Maintenance Fee:** Estimated RM0.85 - RM1.00 psf (inclusive of sinking fund) [KB:O8r6k2jrVEcf9zXLSAKC]
- **Car Park Allocation:** Not on record
### Layout Breakdown
*Note: Overall project starting price on record is RM1,431,980. Specific gross and nett prices per individual unit layout are not on record.*
- **1 Room (624 sqft):** 1 Bedroom | Status: Available | Gross Price: Not on record | Nett Price: Not on record [KB:O8r6k2jrVEcf9zXLSAKC]
- **1+1 Room (688 sqft):** 1+1 Bedrooms | Status: Available | Gross Price: Not on record | Nett Price: Not on record [KB:O8r6k2jrVEcf9zXLSAKC]
- **2 Rooms (817 sqft):** 2 Bedrooms | Status: Available | Gross Price: Not on record | Nett Price: Not on record [KB:O8r6k2jrVEcf9zXLSAKC]
- **2 Rooms - Corner (1,011 sqft):** 2 Bedrooms | Status: **Sold Out** [KB:rQ7ubftGuh1zwpSJdcwZ]
- **2+1 Rooms (839 sqft corner / 925 sqft):** 2+1 Bedrooms | Status: **Sold Out** [KB:rQ7ubftGuh1zwpSJdcwZ]
- **3 Rooms (1,022 sqft):** 3 Bedrooms | Status: **Sold Out** [KB:gPuJxANhIevYRIFzlqN0] [KB:rQ7ubftGuh1zwpSJdcwZ]
### Furnishing
- **Tower 1 &amp; 2 (Residential):** Partially furnished with Yale smart lock, smart intercom, L-shape kitchen cabinet, Teka microwave oven, 2-in-1 washer/dryer, hood &amp; hob, full air conditioning, double-glazed windows, Blum built-in wardrobes (master &amp; room 2), full bathrooms with Kohler &amp; Grohe fittings, and wall-hung toilet bowl [KB:gPuJxANhIevYRIFzlqN0]. Ceiling height: 10.5 ft [KB:gPuJxANhIevYRIFzlqN0].
- **Tower 3:** Fully furnished premium hotel suites [KB:rQ7ubftGuh1zwpSJdcwZ].
### Top Reasons to Buy [KB:gPuJxANhIevYRIFzlqN0]
1. **Official TRX Address:** 1 of only 2 residential developments inside the official TRX zone with a TRX postcode.
2. **Direct Link Bridge:** Exclusive bridge connecting directly to Central Park for residents.
3. **10-Acre TRX Park:** Attached to green parks featuring an events lawn, city forest, and aromatic gardens.
4. **2.2M sqft TRX Lifestyle Mall:** Direct access to TRX Mall featuring anchor tenants like Seibu Department Store, Apple Flagship Store, and GSC IMAX.
5. **Reputable Fortune 500 Developer:** Developed by CCCG (builder of the HK-Zhuhai-Macau Bridge) in JV with WCT.
6. **Seamless MRT Access:** Direct walk-through connection to the MRT1 &amp; MRT2 TRX Interchange Station.</t>
        </is>
      </c>
    </row>
    <row r="52" ht="60" customHeight="1">
      <c r="A52" s="19" t="inlineStr">
        <is>
          <t>P45</t>
        </is>
      </c>
      <c r="B52" s="20" t="inlineStr">
        <is>
          <t>Dawn KLCC</t>
        </is>
      </c>
      <c r="C52" s="19" t="n">
        <v>28</v>
      </c>
      <c r="D52" s="20" t="inlineStr">
        <is>
          <t>chat-953f69f4-974a-4bdd-892a-7b50bc85b713</t>
        </is>
      </c>
      <c r="E52" s="24" t="inlineStr">
        <is>
          <t>### **Dawn KLCC — Project Details**
#### **Project Overview**
* **Area / Location:** Lot 54, 74, 192, Seksyen 44, Off Jalan Ampang, KLCC, Kuala Lumpur [KB:sAEwPtmvaST2Tg4QHrKf]
* **Developer:** Dawn Land Sdn Bhd (an affiliate company of Chin Hin Group Property Berhad) [KB:sAEwPtmvaST2Tg4QHrKf]
* **Land Title:** Commercial [KB:sAEwPtmvaST2Tg4QHrKf]
* **Tenure:** Freehold [KB:sAEwPtmvaST2Tg4QHrKf]
* **Total Units:** 960 units (Tower A: 492 units, Tower B: 468 units) [KB:sAEwPtmvaST2Tg4QHrKf]
* **Total Floors:** 68 floors for Tower A (Level 68 Sky bar); 22 floors for Tower B [KB:RS93Pfs0E50i7Uxw4tfe]
* **Completion / VP Date:** Target 2029 (Estimated 62 months from SPA date) [KB:YznPpbgj05GmYJapkHrI]
* **Maintenance Fee:** Charged based on allocated share unit as per Strata Management Act 2013 (exact RM/psf rate not on record) [KB:YznPpbgj05GmYJapkHrI]
* **Car Park Allocation:** Tower B: Nil [KB:RS93Pfs0E50i7Uxw4tfe]; Tower A: Not on record
---
#### **Furnishing Packages**
* **Type A &amp; Type B:** Fully furnished (15% discount) or Partially furnished (20% discount). Kitchen fitted by Signature Kitchen (TBC).
* **Type C Series:** Sold Out
---
#### **Top Reasons to Buy**
1. **Prime Freehold Location:** Situated in KLCC, just 385m (3-min walk) to Petronas Twin Towers, Avenue K, and Four Seasons [KB:YznPpbgj05GmYJapkHrI, KB:tPJwnlqizYuUKdErTBKn].
2. **Excellent Transport Accessibility:** Walking distance to LRT KLCC (500m) and LRT Kampung Baru (650m), next to Saloma Bridge [KB:YznPpbgj05GmYJapkHrI].
3. **Sky Facilities:** Multi-level sky amenities including a Level 68 Sky Bar offering 360° views of KL [KB:B4K5eielz1ZKU9xwrPM4, KB:YznPpbgj05GmYJapkHrI].
4. **GreenRE Certified &amp; Wellness Design:** Optimized North-South orientation and naturally ventilated corridors [KB:B4K5eielz1ZKU9xwrPM4, KB:YznPpbgj05GmYJapkHrI].
---
#### **Layout Details**
*Overall Project Starting Price:* From RM1,270,000 (Individual layout gross/nett prices are not on record).
**Tower B — Lifestyle Suites (Non-HDA):**
* **Type A1:** 350 sq ft | 1 Bedroom, 1 Bathroom | Gross Price: Not on record | Nett Price: Not on record
* **Type A2:** 405 sq ft | 1 Bedroom, 1 Bathroom | Gross Price: Not on record | Nett Price: Not on record
* **Type A3:** 416 sq ft | 1 Bedroom, 1 Bathroom | Gross Price: Not on record | Nett Price: Not on record
* **Type A4:** 350 sq ft | 1 Bedroom, 1 Bathroom | Gross Price: Not on record | Nett Price: Not on record
* **Type A5:** 348 sq ft | 1 Bedroom, 1 Bathroom | Gross Price: Not on record | Nett Price: Not on record
* **Type A6:** 402 sq ft | 1 Bedroom, 1 Bathroom | Gross Price: Not on record | Nett Price: Not on record
* **Type A7:** 413 sq ft | 1 Bedroom, 1 Bathroom | Gross Price: Not on record | Nett Price: Not on record
**Tower A — Serviced Apartments (HDA):**
* **Type B:** 550 sq ft | Dual Key, 2 Bathrooms | Gross Price: Not on record | Nett Price: Not on record
* **Type B1:** 550 sq ft | 2 Bedrooms, 1 Bathroom | Gross Price: Not on record | Nett Price: Not on record
* **Type C:** 762 sq ft | Dual Key, 2 Bathrooms | **Sold Out**
* **Type CA:** 806 sq ft | Dual Key, 2 Bathrooms | **Sold Out**
* **Type C1:** 739 sq ft | 2 Bedrooms, 1 Bathroom | **Sold Out**
* **Type C1A:** 780 sq ft | 2 Bedrooms, 1 Bathroom | **Sold Out**
* **Type C2:** 785 sq ft | 2 Bedrooms, 1 Bathroom | **Sold Out**
* **Type C2A:** 835 sq ft | 2 Bedrooms, 1 Bathroom | **Sold Out**
* **Type C3:** 760 sq ft | Dual Key, 2 Bathrooms | **Sold Out**
* **Type C4:** 804 sq ft | Dual Key, 2 Bathrooms | **Sold Out**
* **Type C5:** 737 sq ft | 2 Bedrooms, 1 Bathroom | **Sold Out**
* **Type C6:** 737 sq ft | 2 Bedrooms, 1 Bathroom | **Sold Out**
* **Type C7:** 783 sq ft | 2 Bedrooms, 1 Bathroom | **Sold Out**
* **Type C8:** 833 sq ft | 2 Bedrooms, 1 Bathroom | **Sold Out**</t>
        </is>
      </c>
    </row>
    <row r="53" ht="60" customHeight="1">
      <c r="A53" s="19" t="inlineStr">
        <is>
          <t>P46</t>
        </is>
      </c>
      <c r="B53" s="20" t="inlineStr">
        <is>
          <t>Eaton Residences by Sutera @ KLCC</t>
        </is>
      </c>
      <c r="C53" s="19" t="n">
        <v>31.9</v>
      </c>
      <c r="D53" s="20" t="inlineStr">
        <is>
          <t>chat-efd65adb-f14f-455b-b49e-e400651fd161</t>
        </is>
      </c>
      <c r="E53" s="24" t="inlineStr">
        <is>
          <t>Here are the full details for **Eaton Residences by Sutera @ KLCC** (Project ID: `A7h6tCOPvghxPHW1l5JA`):
### Layout Details
| Layout | Size | Bedrooms | Gross Price | Nett Price | Status |
| --- | --- | --- | --- | --- | --- |
| 1 Bedroom | 635 sq. ft. | 1 | Not on record | Not on record | Available |
| 1 + 1 Flexi Room | 775 / 840 sq. ft. | 1 + 1 | Not on record | Not on record | Available |
| 2 + 1 Bedrooms | 1,410 sq. ft. | 2 + 1 | Not on record | Not on record | Available |
| 3 Bedrooms (Corner) | 1,550 sq. ft. | 3 | Not on record | Not on record | Available |
| Penthouse | 2,885 sq. ft. | Not on record | Not on record | Not on record | Available |
| Unit 43A-11 (Show Unit) | 850 sq. ft. | 1 + 1 | Not on record | Not on record | Available |
| Unit 43A-13A (Show Unit) | 1,550 sq. ft. | 3 | Not on record | Not on record | Available |
| Unit 32-2 (Show Unit) | 1,410 sq. ft. | 2 + 1 | Not on record | Not on record | Available |
*Note: Starting project price on record is RM 1,148,750 (Price Band: RM 800k - RM 1.2m). Specific per-layout gross and nett prices are not on record.* 
### Key Project Details
- **Area:** Jalan Kia Peng, KLCC, Kuala Lumpur [KB:L7dvtvBm4wGoOMjxNuxq]
- **Developer:** City View Ventures Sdn Bhd (Subsidiary of GSH Corporation Ltd - SGX listed) [KB:L7dvtvBm4wGoOMjxNuxq] / DAC Development / Intan Sekitar Sdn Bhd [KB:cde5ArGy9wCRzO1C6wa2]
- **Land Title:** Leasehold (until 31st Dec 2114) [KB:cde5ArGy9wCRzO1C6wa2]
- **Tenure:** Leasehold 2114 [KB:cde5ArGy9wCRzO1C6wa2]
- **Maintenance Fee:** RM0.65 psf inclusive of sinking fund [KB:cde5ArGy9wCRzO1C6wa2] (also cited as RM0.60 psf in [KB:Li91Bc88i9TWX8UWO7G9])
- **Total Units:** 632 units [KB:Li91Bc88i9TWX8UWO7G9] (Info sheet lists 960 units across 2 towers [KB:cde5ArGy9wCRzO1C6wa2])
- **Total Floors:** 52 floors [KB:Li91Bc88i9TWX8UWO7G9]
- **Completion / Vacant Possession Date:** Q1 2022 (Completed / VP status: True) [KB:cde5ArGy9wCRzO1C6wa2]
- **Furnishing:** Luxury ID Fully Furnished (Show units and Airbnb-ready fully ID furnished units available)
- **Car Park Allocation:** [KB:Li91Bc88i9TWX8UWO7G9]
  - Units &lt; 1,000 sq. ft.: 1 car park
  - Units ≥ 1,000 sq. ft.: 2 tandem car parks
  - Penthouses: 4 tandem car parks
### Top Reasons to Buy [KB:Li91Bc88i9TWX8UWO7G9]
1. One of the most attractive psf prices for a new development in the Golden Triangle near KLCC (~RM1,400+ psf).
2. Developed by SGX-listed developer GSH Corporation, offering premium construction quality.
3. Excellent connectivity: 180m / 3-minute walk to MRT2 Conlay Station.
4. Prime location: 900m drive along Jalan Conlay past Banyan Tree Hotel directly to Pavilion KL.
5. Iconic facilities, including one of Kuala Lumpur's largest cantilever infinity pools on Level 51.</t>
        </is>
      </c>
    </row>
    <row r="54" ht="60" customHeight="1">
      <c r="A54" s="19" t="inlineStr">
        <is>
          <t>P47</t>
        </is>
      </c>
      <c r="B54" s="20" t="inlineStr">
        <is>
          <t>Platinum Face Suite 2 KLCC</t>
        </is>
      </c>
      <c r="C54" s="19" t="n">
        <v>25</v>
      </c>
      <c r="D54" s="20" t="inlineStr">
        <is>
          <t>chat-723cd94b-fc0c-4ea2-b938-17e12bde66d0</t>
        </is>
      </c>
      <c r="E54" s="24" t="inlineStr">
        <is>
          <t>Here are the project details for **Platinum Face Suite 2 KLCC** (Project ID: `mkhvGpzdLqmO1Y6o6M1F`):
### Core Information
- **Area:** Jalan Sultan Ismail, Kuala Lumpur (KLCC area) [KB:s6Cq9o9dg427IbJCmEW6]
- **Developer:** Andarama SB under Quill group of companies / Platinum Victory Suites [KB:s6Cq9o9dg427IbJCmEW6]
- **Land Title:** Commercial (with hotel license) [KB:s6Cq9o9dg427IbJCmEW6]
- **Tenure:** Freehold [KB:s6Cq9o9dg427IbJCmEW6]
- **Maintenance Fee:** RM0.55 psf [KB:s6Cq9o9dg427IbJCmEW6]
- **Total Units:** 733 units [KB:s6Cq9o9dg427IbJCmEW6]
- **Total Floors:** 51 floors [KB:s6Cq9o9dg427IbJCmEW6]
- **Completion / VP Date:** Completed [KB:s6Cq9o9dg427IbJCmEW6]
- **Furnishing:** Fully furnished (exclusive hotel-style finishing)
- **Car Park Allocation:** 1 car park per unit
---
### Layout Breakdown
- **3 Bedrooms (1,625 sq.ft):** 3 Bedrooms | **Nett Price:** Not on record | **Gross Price:** Not on record *(Average indicative rate: ~RM2,000 psf)*
*Note: Studio layouts (550, 560, 650, 765 sq.ft) and 2-Bedroom layouts (1,150 &amp; 1,195 sq.ft) are noted in project specifications, but per-layout unit availability, sold-out breakdown, and exact nett/gross prices are **not on record**. Check with D2 sales admin for real-time sales chart availability.*
---
### Top Reasons to Buy
1. **Prime KLCC Location &amp; Commercial Title:** Freehold commercial title with official hotel license on Jalan Sultan Ismail.
2. **Guaranteed Rental Return (GRR) Package:** 5% GRR for 3 + 2 years, including 7 days complimentary stay per year for 3 years.
3. **Luxury Sky Amenities:** Features the largest rooftop infinity pool in the area, sky gym, sky lounge, restaurant, 24-hour concierge, and optional valet service.
4. **Turnkey Investment:** Units come fully furnished with hotel-grade finishes, ready for immediate occupancy or rental operation.</t>
        </is>
      </c>
    </row>
    <row r="55" ht="60" customHeight="1">
      <c r="A55" s="19" t="inlineStr">
        <is>
          <t>P48</t>
        </is>
      </c>
      <c r="B55" s="20" t="inlineStr">
        <is>
          <t>Armani Hallson @ Jalan Ampang</t>
        </is>
      </c>
      <c r="C55" s="19" t="n">
        <v>27</v>
      </c>
      <c r="D55" s="20" t="inlineStr">
        <is>
          <t>chat-905a2ae5-64db-4494-ad3e-b4c71bead32f</t>
        </is>
      </c>
      <c r="E55" s="24" t="inlineStr">
        <is>
          <t>Here are the details for **Armani Hallson @ Jalan Ampang**:
### Layout Overview
*Note: Total unit gross and nett prices per individual layout are not on record (units are priced on a PSF basis: SOHO at RM1,600 psf nett; SOVO internal/blocked view at RM1,800 psf nett; SOVO KLCC view at RM2,200 psf nett). Bedroom counts per layout are not on record. None of the layouts are listed as sold out.*
**SOVO Layouts:**
- **Type A**: 776 sq.ft | Bedrooms: not on record | Nett Price: not on record | Gross Price: not on record
- **Type B**: 406 sq.ft | Bedrooms: not on record | Nett Price: not on record | Gross Price: not on record
- **Type B1**: 438 sq.ft | Bedrooms: not on record | Nett Price: not on record | Gross Price: not on record
- **Type C**: 813 sq.ft | Bedrooms: not on record | Nett Price: not on record | Gross Price: not on record
- **Type D**: 813 sq.ft | Bedrooms: not on record | Nett Price: not on record | Gross Price: not on record
- **Type E**: 1,182 sq.ft | Bedrooms: not on record | Nett Price: not on record | Gross Price: not on record
**SOHO Layouts:**
- **Type A**: 558 sq.ft | Bedrooms: not on record | Nett Price: not on record | Gross Price: not on record
- **Type B**: 538 sq.ft | Bedrooms: not on record | Nett Price: not on record | Gross Price: not on record
---
### Project Details
- **Area**: Jalan Ampang, Kuala Lumpur [KB:VeqOCBmCFSVa3TlWqzMC] [KB:GpkrmbhIZyi9w9orPorJ]
- **Developer**: Armani Hallson KLCC Sdn Bhd [KB:GpkrmbhIZyi9w9orPorJ] / KL Metro Group [KB:VeqOCBmCFSVa3TlWqzMC]
- **Land Title**: Commercial (SOHO / SOVO commercial development; exact title category not on record)
- **Maintenance Fee**: RM0.95 psf (inclusive of sinking fund) [KB:GpkrmbhIZyi9w9orPorJ] [KB:Qg8MQexlDPWEUt5QF7yG]
- **Tenure**: Freehold [KB:VeqOCBmCFSVa3TlWqzMC] [KB:GpkrmbhIZyi9w9orPorJ]
- **Total Units**: 2,215 units (775 SOHO units, 1,440 SOVO units) [KB:VeqOCBmCFSVa3TlWqzMC] [KB:GpkrmbhIZyi9w9orPorJ]
- **Total Floors**: 3 Towers — 1 SOHO Tower (69 floors) &amp; 2 SOVO Towers (78 floors) [KB:VeqOCBmCFSVa3TlWqzMC] [KB:GpkrmbhIZyi9w9orPorJ]
- **Completion / Vacant Possession Date**: Year 2029 [KB:GpkrmbhIZyi9w9orPorJ] [KB:Qg8MQexlDPWEUt5QF7yG]
- **Top Reasons to Buy** [KB:Qg8MQexlDPWEUt5QF7yG]:
  1. Prime CBD location in the heart of KLCC with strong investment and rental potential.
  2. DBKL-approved 300m link bridge connecting directly to KLCC.
  3. Managed by short-term stay operator Five Sense with a minimum performance assurance of 4%.
  4. Fully furnished units and 24-hour accessible facilities designed for guest convenience.
- **Furnishing**: Fully furnished units
- **Car Park Allocation**: 1,189 total parking lots across the development [KB:GpkrmbhIZyi9w9orPorJ] (dual-key units include a car park; specific car park allocation per layout is not on record)</t>
        </is>
      </c>
    </row>
    <row r="56" ht="60" customHeight="1">
      <c r="A56" s="19" t="inlineStr">
        <is>
          <t>P49</t>
        </is>
      </c>
      <c r="B56" s="20" t="inlineStr">
        <is>
          <t>Orion Residence</t>
        </is>
      </c>
      <c r="C56" s="19" t="n">
        <v>31</v>
      </c>
      <c r="D56" s="20" t="inlineStr">
        <is>
          <t>chat-97b4ac94-b4a2-43d4-905e-1b0e38f46bb2</t>
        </is>
      </c>
      <c r="E56" s="24" t="inlineStr">
        <is>
          <t>Here are the details for **Orion Residence** (Project ID: `un96QODcMT41aS81jAje`):
### Layout Breakdown
*Overall Project Price Range:* RM 1.45 Million – RM 4.00 Million (RM 2,707 – RM 3,750 psf) [KB:CP52wjOx3r0epR0umV3P]. Individual nett and gross prices per layout are **not on record**.
* **Studio Layouts:**
  * **Type A1 &amp; A2:** 495 sqft | Studio | Nett price: Not on record | Gross price: Not on record
  * **Type A3:** 497 sqft | Studio | Nett price: Not on record | Gross price: Not on record
  * **Type A4:** 491 sqft | Studio | Nett price: Not on record | Gross price: Not on record
  * **Type A4-T:** 588 sqft (with Private Terrace) | Studio | Nett price: Not on record | Gross price: Not on record
* **2-Bedroom Layouts:**
  * **Type B1:** 680 sqft | 2 Bedrooms | Nett price: Not on record | Gross price: Not on record
  * **Type B2:** 746 sqft | 2 Bedrooms | Nett price: Not on record | Gross price: Not on record
  * **Type B3:** 746 sqft | 2 Bedrooms | Nett price: Not on record | Gross price: Not on record
  * **Type B4:** 708 sqft | 2 Bedrooms | Nett price: Not on record | Gross price: Not on record
  * **Type C1:** 838 sqft | 2 Bedrooms | Nett price: Not on record | Gross price: Not on record
  * **Type C2:** 945 sqft | 2 Bedrooms | Nett price: Not on record | Gross price: Not on record
  * **Type C3:** 923 sqft | 2 Bedrooms | Nett price: Not on record | Gross price: Not on record
  * **Type C3-T:** 1,155 sqft (with Private Terrace) | 2 Bedrooms | Nett price: Not on record | Gross price: Not on record
  * **Type C4:** 992 sqft | 2 Bedrooms | Nett price: Not on record | Gross price: Not on record
  * **Type C4-T:** 1,186 sqft (with Private Terrace) | 2 Bedrooms | Nett price: Not on record | Gross price: Not on record
  * **Type C5:** 886 sqft | 2 Bedrooms | Nett price: Not on record | Gross price: Not on record
  * **Type C5-T:** 1,077 sqft (with Private Terrace) | 2 Bedrooms | Nett price: Not on record | Gross price: Not on record
* **3-Bedroom Dual-Key Layouts:**
  * **Type D1:** 1,180 sqft | 3 Bedrooms Dual-Key | Nett price: Not on record | Gross price: Not on record
  * **Type D2:** 1,329 sqft | 3 Bedrooms Dual-Key | Nett price: Not on record | Gross price: Not on record
  * **Type D3:** 1,230 sqft | 3 Bedrooms Dual-Key | Nett price: Not on record | Gross price: Not on record
  * **Type D4:** 1,271 sqft | 3 Bedrooms Dual-Key | Nett price: Not on record | Gross price: Not on record
* **Penthouse:**
  * 2 units | **SOLD OUT** [KB:CP52wjOx3r0epR0umV3P]
---
### Project Specifications
* **Area:** Bukit Bintang, Kuala Lumpur
* **Developer:** Orion Tower Sdn. Bhd
* **Land Title:** Commercial title under HDA [KB:CP52wjOx3r0epR0umV3P]
* **Maintenance Fee:** RM 1.32 psf including sinking fund (free 2 years maintenance fee upon CCC) [KB:CP52wjOx3r0epR0umV3P]
* **Tenure:** Freehold [KB:CP52wjOx3r0epR0umV3P]
* **Total Units:** 298 units [KB:CP52wjOx3r0epR0umV3P]
* **Total Floors:** 46 floors (1 Tower) [KB:CP52wjOx3r0epR0umV3P]
* **Completion / VP Date:** Estimated Q2 2025 [KB:CP52wjOx3r0epR0umV3P]
* **Top Reasons to Buy:** Not on record
* **Furnishing:** Fully furnished units with 5-star interior design standards [KB:9mpzqttssJ5gWRA8d9V1]
* **Car Park Allocation:** 1 car park right per unit (Automated Parking System) [KB:CP52wjOx3r0epR0umV3P]</t>
        </is>
      </c>
    </row>
    <row r="57" ht="60" customHeight="1">
      <c r="A57" s="19" t="inlineStr">
        <is>
          <t>P50</t>
        </is>
      </c>
      <c r="B57" s="20" t="inlineStr">
        <is>
          <t>PSQ Pavilion Square</t>
        </is>
      </c>
      <c r="C57" s="19" t="n">
        <v>27.2</v>
      </c>
      <c r="D57" s="20" t="inlineStr">
        <is>
          <t>chat-a5d64b8a-99ad-4d78-b05e-4c9be8337466</t>
        </is>
      </c>
      <c r="E57" s="24" t="inlineStr">
        <is>
          <t>Here are the details for **PSQ Pavilion Square** (Project ID: `sMPvO88kDSUNcJlujNK3`):
### **Layout Details**
*Note: Individual nett and gross prices per layout are **not on record** (overall project pricing ranges from RM1,319,000 to RM5,409,000 [KB:gJZlQW6IQLEu0gs2lP4O] at RM2,600 – RM3,300 psf). Layout sold-out status is **not on record**.*
* **Type A (Studio)**: 504 sq. ft. | 0 Bedrooms | Nett Price: *Not on record* | Gross Price: *Not on record*
* **Type B1 / B2 (1+1 Rooms)**: 770 – 772 sq. ft. | 1+1 Bedrooms | Nett Price: *Not on record* | Gross Price: *Not on record*
* **Type B (2 Rooms)**: 966 sq. ft. | 2 Bedrooms | Nett Price: *Not on record* | Gross Price: *Not on record*
* **Type C1 / C2 / C3 / C4 (2+1 Rooms)**: 978 – 1,272 sq. ft. | 2+1 Bedrooms | Nett Price: *Not on record* | Gross Price: *Not on record*
* **Type D (3 Rooms)**: 1,255 sq. ft. | 3 Bedrooms | Nett Price: *Not on record* | Gross Price: *Not on record*
---
### **Project Specifications**
* **Area**: Bukit Bintang, Kuala Lumpur (Opposite Pavilion KL Mall) [KB:6vGV2DMNKFrSCPVFfEoK]
* **Developer**: Armani Hartajaya Sdn Bhd / Hartamaju Sdn Bhd (subsidiary under Pavilion Group / Wing Tai Malaysia) [KB:6vGV2DMNKFrSCPVFfEoK]
* **Land Title**: Commercial title under HDA (Serviced Residence) [KB:Ep4l1Rr3RwGPFg2inNIM], [KB:JHNjUUBj6t4gW3qhdgUn]
* **Tenure**: Leasehold (expires 04 October 2122) [KB:6vGV2DMNKFrSCPVFfEoK], [KB:Ep4l1Rr3RwGPFg2inNIM]
* **Maintenance Fee**: RM0.99 per sq. ft. (inclusive of sinking fund) [KB:6vGV2DMNKFrSCPVFfEoK]
* **Total Units**: 960 Luxury Residence units (plus 106 Corporate Suites) [KB:gJZlQW6IQLEu0gs2lP4O]
* **Total Floors**: 67-storey Luxury Residence (92 storeys total structure) [KB:6vGV2DMNKFrSCPVFfEoK], [KB:w7ZFTNAXew2ocdrnCUKr]
* **Completion / VP Date**: Target Q3 2029 – 2030 (58 months from SPA) [KB:Ep4l1Rr3RwGPFg2inNIM]
* **Furnishing**: Exclusively Fully Furnished
* **Car Park Allocation**: 504 sq. ft. (Type A): None / Not applicable. 700–1,100+ sq. ft. (Type B/C/D): 1 car park slot (or 1–2 / tandem depending on type) [KB:JHNjUUBj6t4gW3qhdgUn]
---
### **Top Reasons to Buy**
1. **Direct Link Bridge**: Seamless direct access to Pavilion KL Mall [KB:w7ZFTNAXew2ocdrnCUKr].
2. **Golden Triangle Location**: Prime position in Kuala Lumpur's central shopping and commercial hub [KB:w7ZFTNAXew2ocdrnCUKr].
3. **Extensive Lifestyle Facilities**: Over 70,000 sq. ft. of facilities across 4 levels, including a 15,000 sq. ft. Sky Gym and a 118m Infinity Sky Pool [KB:w7ZFTNAXew2ocdrnCUKr].
4. **Pavilion Concierge Services**: Dedicated housekeeping, private jet/yacht, and property management arrangements.</t>
        </is>
      </c>
    </row>
    <row r="58" ht="60" customHeight="1">
      <c r="A58" s="19" t="inlineStr">
        <is>
          <t>P51</t>
        </is>
      </c>
      <c r="B58" s="20" t="inlineStr">
        <is>
          <t>Katana 2 Residence</t>
        </is>
      </c>
      <c r="C58" s="19" t="n">
        <v>33.7</v>
      </c>
      <c r="D58" s="20" t="inlineStr">
        <is>
          <t>chat-c6fe80bd-3121-40af-8192-94aae28986a9</t>
        </is>
      </c>
      <c r="E58" s="24" t="inlineStr">
        <is>
          <t>### Katana 2 Residence - Project Details
* **Area**: Uthant, KLCC / Bukit Bintang area (2km from KL City Centre)
* **Developer**: BSG Group &amp; UM Land Bhd / Symphony Life Bhd [KB:7K6g7megCnLfz8eBqvLn]
* **Land Title**: Strata Title
* **Tenure**: Not on record
* **Maintenance Fee**: RM0.435 psf (inclusive of sinking fund) [KB:7K6g7megCnLfz8eBqvLn] / RM0.54 psf per recent update [KB:EhnyXVbZkpwT21HwsWj2]
* **Total Units**: 40 Units [KB:7K6g7megCnLfz8eBqvLn]
* **Total Floors**: 10 Floors (height-restricted due to nearby embassies) [KB:7K6g7megCnLfz8eBqvLn]
* **Completion / Vacant Possession Date**: Completed in 2010 [KB:7K6g7megCnLfz8eBqvLn]
* **Car Park Allocation**: 3 basement car park bays per unit [KB:EhnyXVbZkpwT21HwsWj2], [KB:I38qoohfN0bxxtdx77Zq]
* **Furnishing**: Varies by unit (Partly furnished as-is to Fully ID furnished)
---
### Layout &amp; Unit Breakdown
*Note: The official structured per-layout table (`unitTypes`) is not on record for this project. Below are the specific individual units on record with available pricing and layout details:*
1. **A-3A-02 (Designer Loft)**
   * **Size**: 3,541 sq ft
   * **Bedrooms**: 4+1
   * **Gross Price**: RM4,426,250
   * **Nett Price**: RM4,276,250 (after RM150,000 discount)
   * **Furnishing**: Partly furnished, as-is
   * **Status**: Available
2. **A-3-02 (Designer Loft)**
   * **Size**: 3,778 sq ft
   * **Bedrooms**: 4+1
   * **Gross Price**: RM5,100,300 [KB:3jfH6m9MXRdEXNOg1cBw]
   * **Nett Price**: RM4,980,000 [KB:3jfH6m9MXRdEXNOg1cBw]
   * **Furnishing**: Fully ID &amp; renovated [KB:3jfH6m9MXRdEXNOg1cBw]
   * **Status**: Available
3. **A-4-02 (Designer Loft)**
   * **Size**: 3,541 sq ft
   * **Bedrooms**: 4+1
   * **Gross Price**: RM4,426,250 [KB:3jfH6m9MXRdEXNOg1cBw]
   * **Nett Price**: RM4,276,250 [KB:3jfH6m9MXRdEXNOg1cBw] *(New ID package units quoted at RM5,580,000 [KB:EhnyXVbZkpwT21HwsWj2] / RM5,680,000 [KB:I38qoohfN0bxxtdx77Zq])*
   * **Furnishing**: Fully interior designed [KB:EhnyXVbZkpwT21HwsWj2]
   * **Status**: Available
4. **A-3-01 (Duplex)**
   * **Size**: 3,800 sq ft
   * **Bedrooms**: Not on record
   * **Gross Price**: RM3,800,000 [KB:3jfH6m9MXRdEXNOg1cBw]
   * **Nett Price**: RM3,600,000 [KB:3jfH6m9MXRdEXNOg1cBw]
   * **Furnishing**: Not on record
   * **Status**: Available
5. **A-9-1 / A-9-01 (Super Triplex Penthouse)**
   * **Size**: 6,286 sq ft
   * **Bedrooms**: 4+1
   * **Gross Price**: RM12,257,700 [KB:3jfH6m9MXRdEXNOg1cBw]
   * **Nett Price**: RM12,000,000 [KB:3jfH6m9MXRdEXNOg1cBw]
   * **Furnishing**: Fully Furnished with private rooftop pool [KB:3jfH6m9MXRdEXNOg1cBw], [KB:I38qoohfN0bxxtdx77Zq]
   * **Status**: Available
6. **C-10-2 (Penthouse)**
   * **Size**: 6,168 sq ft
   * **Bedrooms**: 4+1
   * **Gross Price**: Not on record
   * **Nett Price**: Not on record
   * **Furnishing**: Private rooftop pool [KB:I38qoohfN0bxxtdx77Zq]
   * **Status**: Available
*(Note: Detailed sold-out status for individual unlisted units is not on record, but only active unsold units are shown above.)*
---
### Top Reasons to Buy [KB:7K6g7megCnLfz8eBqvLn]
1. **3-Minute Walk to ISKL**: Located just 280m down the street from The International School of Kuala Lumpur.
2. **Exclusive Diplomatic Enclave**: Situated in prestigious Uthant, home to 53 foreign embassies and VIP residences.
3. **Ultra Low-Density**: Capped at 10 floors with only 40 exclusive residences on 1 acre of prime land.
4. **Embassy-Level Security**: Exceptionally secure and private surroundings.
5. **City-Center Proximity**: Only 2km to KLCC and Petronas Twin Towers.
6. **Strong Value vs KLCC**: Luxury living offered at ~RM1,400 psf compared to KLCC's ~RM1,800 psf.</t>
        </is>
      </c>
    </row>
    <row r="59" ht="60" customHeight="1">
      <c r="A59" s="19" t="inlineStr">
        <is>
          <t>P52</t>
        </is>
      </c>
      <c r="B59" s="20" t="inlineStr">
        <is>
          <t>The Centrix</t>
        </is>
      </c>
      <c r="C59" s="19" t="n">
        <v>30.9</v>
      </c>
      <c r="D59" s="20" t="inlineStr">
        <is>
          <t>chat-de9e1294-cef9-4d7f-8656-67d7ab0173cf</t>
        </is>
      </c>
      <c r="E59" s="24" t="inlineStr">
        <is>
          <t>Here are the details on record for **The Centrix** (Project ID: `cPm26piH01BLSP7QLZkx`):
### **Layouts**
*Note: Total gross and nett prices per layout are **not on record** (pricing is stated at a rate of **RM1,350 psf**).* 
* **Studio**: 571 – 868 sq ft | 0 Bedrooms | Nett Price: Not on record | Gross Price: Not on record (Status: Available)
* **1 Bedroom**: 566 – 819 sq ft | 1 Bedroom | Nett Price: Not on record | Gross Price: Not on record (Status: Available)
* **2 Bedroom**: 718 – 1015 sq ft | 2 Bedrooms | Nett Price: Not on record | Gross Price: Not on record (Status: Available)
* **3 Bedroom**: 1010 – 1187 sq ft | 3 Bedrooms | Nett Price: Not on record | Gross Price: Not on record (Status: Available)
*(Note: Dual Key layouts from 593 – 1,039 sq ft are also referenced in project documentation [KB:ToTXDZwCs2MOTHR5BCLS]).*
---
### **Project Specifications &amp; Facts**
* **Area / Location:** Dang Wangi Station (0m distance), KLCC/Bukit Bintang area (900m to KLCC)
* **Developer:** Multibay Development Sdn Bhd / DAC Development / Intan Sekitar Sdn Bhd (Crest Builder Berhad) [KB:TII70fkIrxauDrED7Dvs][KB:ToTXDZwCs2MOTHR5BCLS]
* **Land Title:** Commercial [KB:TII70fkIrxauDrED7Dvs]
* **Maintenance Fee:** RM0.44 psf (includes sinking fund)
* **Tenure:** Leasehold 99 years (starts from completion date) [KB:TII70fkIrxauDrED7Dvs]
* **Total Units:** 857 units [KB:TII70fkIrxauDrED7Dvs]
* **Total Floors:** 47 Storeys [KB:TII70fkIrxauDrED7Dvs]
* **Completion / Vacant Possession Date:** Target 2nd Half 2029 [KB:TII70fkIrxauDrED7Dvs]
* **Furnishing:** Fully Furnished [KB:JJDX8hE9NZnJdoSlERTs] (includes air-conditioners, water heater, kitchen cabinet with hood &amp; hob, wardrobe, fridge, 2-in-1 washer &amp; dryer)
* **Car Park Allocation:** 645 total parking bays allocated on a first-come, first-served basis (units do not come with dedicated allocated car parks) [KB:ToTXDZwCs2MOTHR5BCLS]
---
### **Top Reasons to Buy** [KB:ToTXDZwCs2MOTHR5BCLS]
1. **Zero Distance Connectivity:** 0m direct connection to LRT Dang Wangi Station (Centrix Station) and 250m covered walkway to Monorail Bukit Nanas.
2. **Prime City Center Location:** 900m to KLCC, adjacent to Heritage Row and facing forest reserve.
3. **Optimized for STR / Airbnb Yields:** Designed for high-occupancy short-term rental demand in the Golden Triangle.
4. **4-Star Facilities Deck:** Features Sky Deck (Level 11) and High-Zone Infinity Pool / Gym viewing deck (Level 45).</t>
        </is>
      </c>
    </row>
    <row r="60" ht="60" customHeight="1">
      <c r="A60" s="19" t="inlineStr">
        <is>
          <t>P53</t>
        </is>
      </c>
      <c r="B60" s="20" t="inlineStr">
        <is>
          <t>Quill Residences KLCC</t>
        </is>
      </c>
      <c r="C60" s="19" t="n">
        <v>29</v>
      </c>
      <c r="D60" s="20" t="inlineStr">
        <is>
          <t>chat-05d5bac5-0ceb-485c-8644-6ae856990dff</t>
        </is>
      </c>
      <c r="E60" s="24" t="inlineStr">
        <is>
          <t>Here are the project details for **Quill Residences KLCC** (Project ID: `6Vl2Py196ogTG3seI28U`):
### Layout Breakdown
- **Type S1**
  - **Size**: 667 sqft
  - **Bedrooms**: 1 room, 1 bath, 1 balcony
  - **Price**: RM761,000 (noted as sold out in subsequent sales update [KB:bVtd28Icpk7daEShqRkH])
  - **Nett / Gross Price**: Not on record
- **Type C3**
  - **Size**: 732 sqft
  - **Bedrooms**: 1 room, 1+1 bath
  - **Price**: RM878,000 (from RM790,000 in sales kit [KB:bVtd28Icpk7daEShqRkH])
  - **Nett / Gross Price**: Not on record
- **Type C1**
  - **Size**: 1,367 sqft
  - **Bedrooms**: 2 rooms, 2 baths, 2 balconies
  - **Price**: RM1,403,000 (from RM1,320,000 in sales kit [KB:bVtd28Icpk7daEShqRkH])
  - **Nett / Gross Price**: Not on record
### Project Specifications
- **Area**: Jalan Sultan Ismail above Quill City Mall, Golden Triangle KL [KB:aLAakjBWeobV3VACnY3V]
- **Developer**: Andarama SB under Quill Group of Companies [KB:aLAakjBWeobV3VACnY3V]
- **Land Title**: Commercial under HDA [KB:aLAakjBWeobV3VACnY3V]
- **Maintenance Fee**: RM0.55 psf (excluding sinking fund) [KB:aLAakjBWeobV3VACnY3V]
- **Tenure**: Freehold [KB:aLAakjBWeobV3VACnY3V]
- **Total Units**: 552 units (1 block) [KB:aLAakjBWeobV3VACnY3V]
- **Total Floors**: Not on record
- **Completion / VP Date**: Target completion Q2 2023 [KB:bVtd28Icpk7daEShqRkH] (VP completed)
- **Top Reasons to Buy**: Prime location along the Jalan Sultan Ismail hotel strip alongside Shangri-La, Renaissance, Sheraton, and Concorde [KB:UVxPQbugESP6jzWhE2j6]; direct access above Quill City Mall [KB:aLAakjBWeobV3VACnY3V] *(full 8-point breakdown not on record)*
- **Furnishing**: Partly furnished with full air-conditioning, full bathroom fittings, kitchen cabinets, hob &amp; hood, microwave oven, and washing machine [KB:aLAakjBWeobV3VACnY3V]
- **Car Park Allocation**: 1 carpark per unit [KB:aLAakjBWeobV3VACnY3V]</t>
        </is>
      </c>
    </row>
    <row r="61" ht="60" customHeight="1">
      <c r="A61" s="19" t="inlineStr">
        <is>
          <t>P54</t>
        </is>
      </c>
      <c r="B61" s="20" t="inlineStr">
        <is>
          <t>Royal Lexis KL</t>
        </is>
      </c>
      <c r="C61" s="19" t="n">
        <v>27</v>
      </c>
      <c r="D61" s="20" t="inlineStr">
        <is>
          <t>chat-3228f672-9c89-4784-b69e-3006d8fc6256</t>
        </is>
      </c>
      <c r="E61" s="24" t="inlineStr">
        <is>
          <t>Here are the full details for **Royal Lexis KL** (Project ID: `dGkfWDGumOb0NDoazfZ3`):
### Project Overview
- **Area / Location:** Jalan Sultan Ismail, beside Monorail Bukit Nanas, KLCC area [KB:uelnMbxBB9NZC56AoeyZ]
- **Developer:** KL Metro Group [KB:uelnMbxBB9NZC56AoeyZ]
- **Land Title:** Commercial (Non-HDA) [KB:uelnMbxBB9NZC56AoeyZ]
- **Tenure:** Freehold [KB:5iolpluMm8LOSwn2b6yX] [KB:uelnMbxBB9NZC56AoeyZ]
- **Maintenance Fee:** RM0.80 psf (includes sinking fund / fire insurance) [KB:m7UYL4cZA0xTzLuWXMnq] [KB:uelnMbxBB9NZC56AoeyZ]
- **Total Units:** 518 units (371 Sky Pool Suites, 147 Hotel units) [KB:m7UYL4cZA0xTzLuWXMnq]
- **Total Floors:** 66 storeys [KB:m7UYL4cZA0xTzLuWXMnq]
- **Completion / VP Date:** Estimated Q3/Q4 2029 [KB:m7UYL4cZA0xTzLuWXMnq] [KB:uelnMbxBB9NZC56AoeyZ]
- **Furnishing:** Fully furnished with hotel-grade finishings [KB:m7UYL4cZA0xTzLuWXMnq]
- **Car Park Allocation:** Owner no designated personal car park (automated basement carpark available for hotel guests/service) [KB:m7UYL4cZA0xTzLuWXMnq] [KB:SDjhInEvFAnqZk8nrMEF]
---
### Layout Details
*Overall project pricing starts from RM1,725,000 (from ~RM2,900 psf) [KB:m7UYL4cZA0xTzLuWXMnq]. Specific gross and nett breakdown per individual unit layout is not on record.*
1. **Type A**
   - **Size:** 573 sq ft [KB:m7UYL4cZA0xTzLuWXMnq] [KB:uelnMbxBB9NZC56AoeyZ]
   - **Bedrooms:** 1 Bedroom [KB:m7UYL4cZA0xTzLuWXMnq]
   - **Nett Price:** Not on record
   - **Gross Price:** Not on record
   - **Status:** Available
2. **Type B**
   - **Size:** 802 sq ft [KB:m7UYL4cZA0xTzLuWXMnq] [KB:uelnMbxBB9NZC56AoeyZ]
   - **Bedrooms:** 1 Bedroom (2 beds) [KB:m7UYL4cZA0xTzLuWXMnq]
   - **Nett Price:** Not on record
   - **Gross Price:** Not on record
   - **Status:** Available
3. **Type C (Dual Key)**
   - **Size:** 1,053 / 1,085 / 1,225 sq ft [KB:m7UYL4cZA0xTzLuWXMnq] [KB:uelnMbxBB9NZC56AoeyZ]
   - **Bedrooms:** 2 Bedrooms [KB:m7UYL4cZA0xTzLuWXMnq] [KB:uelnMbxBB9NZC56AoeyZ]
   - **Nett Price:** Not on record
   - **Gross Price:** Not on record
   - **Status:** Available
---
### Top Reasons to Buy
1. **Proven Track Record:** Developed by KL Metro Group (developers of Lexis Hibiscus &amp; Imperial Lexis) [KB:SDjhInEvFAnqZk8nrMEF].
2. **Prime Central Location:** Situated on Jalan Sultan Ismail beside Monorail Bukit Nanas near KLCC [KB:SDjhInEvFAnqZk8nrMEF].
3. **Private Swimming Pool:** Signature luxury feature with a private pool in every suite [KB:SDjhInEvFAnqZk8nrMEF] [KB:5iolpluMm8LOSwn2b6yX].
4. **Freehold Tenure:** Long-term ownership security in KL city centre [KB:5iolpluMm8LOSwn2b6yX].
5. **Dual Key Layouts:** Flexible options for living or rental yield optimization [KB:5iolpluMm8LOSwn2b6yX].
6. **Hassle-Free Hospitality Management:** Fully managed by Lexis Hotel Group with 6% GRR for 3 years followed by 12 years of profit-sharing [KB:5iolpluMm8LOSwn2b6yX] [KB:SDjhInEvFAnqZk8nrMEF].</t>
        </is>
      </c>
    </row>
    <row r="62" ht="60" customHeight="1">
      <c r="A62" s="19" t="inlineStr">
        <is>
          <t>P55</t>
        </is>
      </c>
      <c r="B62" s="20" t="inlineStr">
        <is>
          <t>SO Sofitel Residences KLCC</t>
        </is>
      </c>
      <c r="C62" s="19" t="n">
        <v>28</v>
      </c>
      <c r="D62" s="20" t="inlineStr">
        <is>
          <t>chat-0fd5dd0d-8b8d-4165-9b17-3fd3e9b8f034</t>
        </is>
      </c>
      <c r="E62" s="24" t="inlineStr">
        <is>
          <t>### SO Sofitel Residences KLCC (Project ID: LFQ1wAO6pY3cjZRfBrFd)
#### Layout Details
| Type | Size | Bedrooms | Nett Price | Gross Price | Availability |
|---|---|---|---|---|---|
| Type A1 | 578 sqft | Studio | RM1,243,856 – RM1,784,150 | RM1,554,820 – RM2,099,000 | Available |
| Type A2 | 566 sqft | Studio | RM1,212,640 – RM1,778,200 | RM1,515,800 – RM2,092,000 | Available |
| Type B1A | 681 sqft | 1 Bedroom | RM1,525,440 | RM1,906,800 | Available |
| Type B2B | 793 sqft | 1 Bedroom | RM2,350,040 | RM2,398,000 | Available |
| Type B2C | 753 sqft | 1 Bedroom | RM2,267,720 | RM2,314,000 | Available |
| Type C1 | 711 sqft | 1+1 Bedroom | RM1,674,400 – RM2,124,150 | RM2,093,000 – RM2,499,000 | Available |
| Type C2A | 815 sqft | 1+1 Bedroom | RM2,090,150 – RM2,323,900 | RM2,459,000 – RM2,734,000 | Available |
| Type C3A | 800 sqft | 1+1 Bedroom | RM2,123,660 | RM2,167,000 | Available |
| Type D1 | 903 sqft | 2 Bedrooms | RM2,922,360 – RM3,073,280 | RM2,982,000 – RM3,136,000 | Available |
| Type D3 | 956 sqft | 2 Bedrooms | RM2,557,115 – RM2,988,020 | RM2,691,700 – RM3,049,000 | Available |
| Type D4A | 995 sqft | 2 Bedrooms | RM1,719,000 – RM1,852,500 | RM2,292,000 – RM2,470,000 | Available |
| Type D8B | 898 sqft | 2 Bedrooms | RM2,415,000 | RM3,018,750 | Available |
| Type D8C | 904 sqft | 2 Bedrooms | RM2,439,840 | RM3,049,800 | Available |
| Type D8D | 852 sqft | 2 Bedrooms | RM2,334,960 | RM2,918,700 | Available |
| Type D9A | 797 sqft | 2 Bedrooms | RM1,934,400 | RM2,418,000 | Available |
#### Project Information
- **Area:** KLCC [KB:KqagZI05xis2InM9IBuA]
- **Developer:** Oxley Holding (Listed &amp; largest landbank developer in Singapore) [KB:KqagZI05xis2InM9IBuA]
- **Land Title:** Not on record
- **Maintenance Fee:** RM1.00 psf (includes Concierge, Valet, Bell, and Towel &amp; Water service at Pool &amp; Gym)
- **Tenure:** Freehold [KB:KqagZI05xis2InM9IBuA]
- **Total Units:** 590 units [KB:KqagZI05xis2InM9IBuA]
- **Total Floors:** Not on record
- **Completion / Vacant Possession Date:** Target 2025 [KB:KqagZI05xis2InM9IBuA]
- **Furnishing:** Fully furnished by Pavilion [KB:4Gq5PrUUKivVPyHdQXx6]
- **Car Park Allocation:** Not on record
#### Top Reasons to Buy
1. **Rare Branded Residence:** One of only five hotel-branded residences in Malaysia, managed by the AccorHotels Group [KB:IMDAerJJCdHY7cra64Jg].
2. **Prime KLCC Location:** Situated just 250 metres from the PETRONAS Twin Towers and adjacent to KLCC Park [KB:IMDAerJJCdHY7cra64Jg].
3. **Excellent Connectivity:** Walking distance to two LRT and two MRT stations [KB:IMDAerJJCdHY7cra64Jg].
4. **Iconic Rooftop Facility:** Features the highest rooftop pool in Southeast Asia, located on Level 77 [KB:IMDAerJJCdHY7cra64Jg].
5. **Personalized Hospitality Services:** Access to 24-hour SO/ Residences Concierge service and "Just Say SO" à la carte services including housekeeping, in-residence dining, and personal training [KB:IMDAerJJCdHY7cra64Jg].
6. **Competitive Branded Entry Point:** Offers one of the most accessible entry psf rates compared to other branded residences in Kuala Lumpur [KB:IMDAerJJCdHY7cra64Jg].</t>
        </is>
      </c>
    </row>
    <row r="63" ht="60" customHeight="1">
      <c r="A63" s="19" t="inlineStr">
        <is>
          <t>P56</t>
        </is>
      </c>
      <c r="B63" s="20" t="inlineStr">
        <is>
          <t>Le Nouvel KLCC</t>
        </is>
      </c>
      <c r="C63" s="19" t="n">
        <v>32</v>
      </c>
      <c r="D63" s="20" t="inlineStr">
        <is>
          <t>chat-8f235a81-951b-4585-98ca-0991d187b32f</t>
        </is>
      </c>
      <c r="E63" s="24" t="inlineStr">
        <is>
          <t>Here are the full details for **Le Nouvel KLCC** based on the official project record and sales updates:
### Project Overview
- **Area:** KLCC (152, Jalan Ampang, 50450 Kuala Lumpur) [KB:fC4XTilPWrOTBNnwJ5Af, KB:2bq9qy58uezozhTkxWOA]
- **Developer:** Hartamaju Sdn Bhd (a subsidiary of Wing Tai Malaysia Sdn Bhd) [KB:fC4XTilPWrOTBNnwJ5Af]
- **Land Title:** Service Apartment as stated in Strata Title [KB:fC4XTilPWrOTBNnwJ5Af, KB:2bq9qy58uezozhTkxWOA]
- **Tenure:** Freehold [KB:fC4XTilPWrOTBNnwJ5Af, KB:2bq9qy58uezozhTkxWOA]
- **Total Units:** 195 units (Tower 1: 78 units | Tower 2: 117 units) [KB:fC4XTilPWrOTBNnwJ5Af, KB:2bq9qy58uezozhTkxWOA]
- **Total Floors:** Tower 1 (47 storeys) | Tower 2 (41 storeys) [KB:fC4XTilPWrOTBNnwJ5Af]
- **Completion / Vacant Possession Date:** 2017 (Completed) [KB:fC4XTilPWrOTBNnwJ5Af, KB:2bq9qy58uezozhTkxWOA]
- **Maintenance Fee:** RM8.45 per share unit (approx. RM0.82 psf), excluding 10% sinking fund [KB:9lu8rU26wahAXQD2pl4h]
- **Car Park Allocation:** 2 car bays for standard units; 4 car bays for 5-bedroom units and Penthouses [KB:fC4XTilPWrOTBNnwJ5Af]
- **Furnishing:** Fully Furnished (FF) or Partially Furnished (PF) depending on unit [KB:9lu8rU26wahAXQD2pl4h, KB:w5DEBg7mJzgIyLOcpk7C]
---
### Layout &amp; Unit Details
*Note: The structured per-layout table in the system inventory is not on record; however, the unit-by-unit sales price sheet records the following active and sold units in Tower 2 [KB:fC4XTilPWrOTBNnwJ5Af, KB:w5DEBg7mJzgIyLOcpk7C]. A breakdown between gross price and nett price is **not on record** (only single listed price is available).* [KB:w5DEBg7mJzgIyLOcpk7C]
**Fully Furnished (FF):**
- **Unit 2-15-1:** 1,819 sqft | 2 Bedrooms | Price: RM5,300,000 | Status: Available (KLCC View) [KB:w5DEBg7mJzgIyLOcpk7C]
- **Unit 2-15-3A:** 1,905 sqft | 2 Bedrooms | Price: RM5,500,000 | Status: **SOLD** [KB:w5DEBg7mJzgIyLOcpk7C]
- **Unit 2-23A-1:** 1,819 sqft | 2 Bedrooms | Price: RM5,300,000 | Status: Available (Tower 1 / Star Residence View) [KB:w5DEBg7mJzgIyLOcpk7C]
- **Unit 2-23A-3:** 1,722 sqft | 2 Bedrooms | Price: RM5,100,000 | Status: Available (Tower 1 / Star Residence View) [KB:w5DEBg7mJzgIyLOcpk7C]
- **Unit 2-25-1:** 1,819 sqft | 2 Bedrooms | Price: RM5,600,000 | Status: **SOLD** [KB:w5DEBg7mJzgIyLOcpk7C]
- **Unit 2-25-2:** 2,110 sqft | 3 Bedrooms | Price: RM6,200,000 | Status: Available (KLCC View) [KB:w5DEBg7mJzgIyLOcpk7C]
- **Unit 2-25-3A:** 1,905 sqft | 2 Bedrooms | Price: RM5,600,000 | Status: Available (KLCC View) [KB:w5DEBg7mJzgIyLOcpk7C]
- **Unit 2-27-3:** 1,722 sqft | 2 Bedrooms | Price: RM5,100,000 | Status: Available (Resident View) [KB:w5DEBg7mJzgIyLOcpk7C]
- **Unit 2-27-3A:** 1,905 sqft | 2 Bedrooms | Price: RM5,700,000 | Status: Available (4 Seasons View) [KB:w5DEBg7mJzgIyLOcpk7C]
**Partially Furnished (PF):**
- **Unit 2-39-1:** 1,819 sqft | 2 Bedrooms | Price: RM5,700,000 | Status: Available [KB:w5DEBg7mJzgIyLOcpk7C]
- **Unit 2-39-3:** 1,722 sqft | 2 Bedrooms | Price: RM5,500,000 | Status: Available [KB:w5DEBg7mJzgIyLOcpk7C]
- **Unit 2-39-3A:** 1,905 sqft | 2 Bedrooms | Price: RM5,900,000 | Status: Available [KB:w5DEBg7mJzgIyLOcpk7C]
---
### Top Reasons to Buy
1. **Ultra-Prime Address:** Situated along Jalan Ampang directly opposite Petronas Twin Towers and Suria KLCC [KB:fC4XTilPWrOTBNnwJ5Af].
2. **World-Class Architecture &amp; Design:** Architectural landmark designed by Pritzker Prize winner Jean Nouvel, in collaboration with Hervé Descottes (lighting), Patrick Blanc (vertical greenery landscape), and Koichiro Ikebuchi (interiors) [KB:fC4XTilPWrOTBNnwJ5Af, KB:9lu8rU26wahAXQD2pl4h].
3. **Luxurious Sky &amp; Lifestyle Facilities:** Features Level 33A Sky Lounge, Sky Dining, Sky Kitchen, Wine Lounge, Cigar Lounge, plus comprehensive wellness and pool facilities on Level 7 [KB:9lu8rU26wahAXQD2pl4h].
4. **Move-in Ready with Individual Strata Title:** Completed development with individual strata titles issued [KB:9lu8rU26wahAXQD2pl4h].</t>
        </is>
      </c>
    </row>
    <row r="64" ht="60" customHeight="1">
      <c r="A64" s="19" t="inlineStr">
        <is>
          <t>P57</t>
        </is>
      </c>
      <c r="B64" s="20" t="inlineStr">
        <is>
          <t>Star Residences KLCC</t>
        </is>
      </c>
      <c r="C64" s="19" t="n">
        <v>23.7</v>
      </c>
      <c r="D64" s="20" t="inlineStr">
        <is>
          <t>chat-fba2f38a-0028-453a-96df-052d9271d3ac</t>
        </is>
      </c>
      <c r="E64" s="24" t="inlineStr">
        <is>
          <t>Here are the project details for **Star Residences KLCC**:
### **Overview &amp; Location**
* **Project Name:** Star Residences KLCC [KB:cShueljDqIU2kCdodr05]
* **Location / Area:** Opposite KLCC, Jalan Yap Kwan Seng, KLCC district [KB:cShueljDqIU2kCdodr05]
* **Developer:** UM Land Bhd &amp; Symphony Life Bhd [KB:cShueljDqIU2kCdodr05]
* **Land Size:** 4.12 acres [KB:cShueljDqIU2kCdodr05]
* **Land Title:** Commercial under HDA [KB:cShueljDqIU2kCdodr05]
* **Tenure:** Freehold [KB:cShueljDqIU2kCdodr05]
* **Completion / VP Date:** 2019 / 2020 [KB:cShueljDqIU2kCdodr05]
---
### **Building &amp; Units Breakdown**
* **Total Units &amp; Floors:**
  * **Tower 1:** 575 units across 56 storeys [KB:cShueljDqIU2kCdodr05]
  * **Tower 2:** 482 units across 57 storeys [KB:cShueljDqIU2kCdodr05]
  * **Tower 3:** Ascott Hotel &amp; Residences (total units/floors for Tower 3 not on record) [KB:oaiP8hIUnvHwkXTpb5Om]
* **Maintenance Fee:** RM 0.55 psf (including sinking fund) [KB:cShueljDqIU2kCdodr05]
---
### **Layouts, Pricing &amp; Availability**
* **Per-Layout Table (Nett Price, Gross Price, Sold Out Status):** Not on record (no structured unit-by-unit table is available in the project inventory database).
* **Unit Sizes On Record:** Ranges from 625 sq ft to 2,972 sq ft [KB:cShueljDqIU2kCdodr05] (Main layout sizes: 625 sq ft, 711 sq ft, 948 sq ft, 1,399 sq ft) [KB:oaiP8hIUnvHwkXTpb5Om].
* **Pricing Rate:** RM 587 to RM 2,400 psf.
---
### **Car Park Allocation**
* **Tower 1:** No car park allocated [KB:oaiP8hIUnvHwkXTpb5Om]
* **Tower 2:** 1 car park for 948 sq ft units; 1+1 tandem car parks for 1,399 sq ft units [KB:oaiP8hIUnvHwkXTpb5Om]
* **Other Layouts/Towers:** Not on record
---
### **Furnishing**
* **Furnishing Level:** Partially furnished [KB:cShueljDqIU2kCdodr05]
* **Included Items:** Full Samsung air conditioning, complete kitchen with Bosch oven, hood &amp; hob, Samsung fridge, 2-in-1 washer/dryer, stone top kitchen island, built-in bedroom wardrobes, and bathrooms fitted with Villeroy &amp; Boch and Gessi sanitary wares [KB:oaiP8hIUnvHwkXTpb5Om].
---
### **Top Reasons to Buy** [KB:cShueljDqIU2kCdodr05]
1. **100,000 sq ft Lifestyle Facilities:** Hotel-grade amenities including a rooftop Jacuzzi with KLCC views [KB:cShueljDqIU2kCdodr05].
2. **Prime Walking Distance Location:** Direct access to KLCC shopping &amp; business district and Avenue K [KB:cShueljDqIU2kCdodr05].
3. **High Quality Finishings:** Celebrity-themed corridors and extensive art/statue décor [KB:cShueljDqIU2kCdodr05].
4. **High Rental Demand:** Strong professional tenant pool within 500m [KB:cShueljDqIU2kCdodr05].
5. **Exceptional Value in KLCC:** Best value for money given location, quality, and scale of facilities [KB:cShueljDqIU2kCdodr05].</t>
        </is>
      </c>
    </row>
    <row r="65" ht="60" customHeight="1">
      <c r="A65" s="19" t="inlineStr">
        <is>
          <t>P58</t>
        </is>
      </c>
      <c r="B65" s="20" t="inlineStr">
        <is>
          <t>Jewel by Oxley KLCC</t>
        </is>
      </c>
      <c r="C65" s="19" t="n">
        <v>26.5</v>
      </c>
      <c r="D65" s="20" t="inlineStr">
        <is>
          <t>chat-2794b47a-c43a-4c56-a536-659261a2c104</t>
        </is>
      </c>
      <c r="E65" s="24" t="inlineStr">
        <is>
          <t>### **Jewel by Oxley KLCC (Project ID: 8hQluB9sj4dNRiEpF6tF)**
#### **Layout Details**
- **Type A1**: 678 sqft | 1 Bedroom | **Nett Price:** RM1,634,840 – RM1,676,240 | **Gross Price:** RM2,043,550 – RM2,095,300 | Status: Available
- **Type B1**: 678 sqft | 1 Bedroom | **Nett Price:** RM1,644,960 – RM1,693,720 | **Gross Price:** RM2,056,200 – RM2,117,150 | Status: Available
- **Type B2**: 775 sqft | 1+1 Bedrooms | **Nett Price:** RM1,601,663 – RM1,936,600 | **Gross Price:** RM2,135,550 – RM2,420,750 | Status: Available
- **Type B3**: 754 sqft | 1 Bedroom | **Nett Price:** RM1,851,960 – RM1,892,440 | **Gross Price:** RM2,314,950 – RM2,365,550 | Status: Available
- **Type B4**: 818 sqft | 1+1 Bedrooms | **Nett Price:** RM1,701,713 – RM2,062,640 | **Gross Price:** RM2,268,950 – RM2,578,300 | Status: Available
- **Type B5**: 1,033 sqft | 1+1 Bedrooms | **Nett Price:** RM2,091,563 – RM2,469,280 | **Gross Price:** RM2,788,750 – RM3,086,600 | Status: Available
- **Type C1**: 958 sqft | 1+1 Bedrooms | **Nett Price:** RM1,943,213 – RM2,311,040 | **Gross Price:** RM2,590,950 – RM2,888,800 | Status: Available
- **Type D1**: 1,277 sqft | 2 Bedrooms | **Nett Price:** RM2,564,213 – RM2,996,440 | **Gross Price:** RM3,418,950 – RM3,745,550 | Status: Available
- **Type D2**: 1,173 sqft | 2+1 Bedrooms | **Nett Price:** RM2,396,888 – RM2,808,760 | **Gross Price:** RM3,195,850 – RM3,510,950 | Status: Available
---
#### **Project Specifications &amp; Information**
- **Area:** KLCC, Kuala Lumpur [KB:gG2Iv0i2pBdBkvbhLoUg]
- **Developer:** Not on record
- **Land Title:** Not on record
- **Maintenance Fee:** RM0.70 psf (inclusive of sinking fund) [KB:gG2Iv0i2pBdBkvbhLoUg]
- **Tenure:** Freehold [KB:gG2Iv0i2pBdBkvbhLoUg]
- **Total Units:** 267 serviced residence units [KB:mHUE9dIlm1Yy1p3P8TeY]
- **Total Floors:** 49 storeys (Tower 2) / 127 storeys total development [KB:gG2Iv0i2pBdBkvbhLoUg]
- **Completion / Vacant Possession Date:** Not on record
- **Furnishing:** Fully furnished
- **Car Park Allocation:** Not on record
---
#### **Top Reasons to Buy**
1. **Prime Postcode &amp; Park Proximity:** Prestigious freehold residence located directly next to the iconic Petronas Twin Towers and 50-acre KLCC Park [KB:mHUE9dIlm1Yy1p3P8TeY].
2. **Exclusivity &amp; Privacy:** Limited collection of only 267 units ensuring low density and high prestige [KB:mHUE9dIlm1Yy1p3P8TeY].
3. **Award-Winning Green Architecture:** Certified GreenMark status building designed by an award-winning architect, integrated within a luxury mixed development connected to branded retail and a 5-star hotel [KB:bNzV7iwwqDZDFQkBHC8B] [KB:cOy7bahKEaQOOB1Tpabz].</t>
        </is>
      </c>
    </row>
    <row r="66" ht="60" customHeight="1">
      <c r="A66" s="19" t="inlineStr">
        <is>
          <t>P59</t>
        </is>
      </c>
      <c r="B66" s="20" t="inlineStr">
        <is>
          <t>Golden Crown Residence</t>
        </is>
      </c>
      <c r="C66" s="19" t="n">
        <v>34.9</v>
      </c>
      <c r="D66" s="20" t="inlineStr">
        <is>
          <t>chat-2f19acec-43e5-466a-a9b1-0837e562bd20</t>
        </is>
      </c>
      <c r="E66" s="24" t="inlineStr">
        <is>
          <t>Here are the details for **Golden Crown Residence** (Project ID: `VvxOkdBbwLdPU2nJwuHJ`):
### Layout Overview
- **Type A1**: 624 sqft | 1 Bedroom, 1 Bathroom
  - **Gross Price**: Not on record per layout (Overall project list price: RM1,280,000 – RM3,031,000 [KB:I1AWH6hb8uG6yjHSQBEq])
  - **Nett Price**: Not on record per layout
  - **Status**: Available
- **Type A2**: 732 sqft (with balcony) | 1 Bedroom, 1 Bathroom [KB:HuF31VZZiKKeEV7f23Pb]
  - **Gross Price**: Not on record
  - **Nett Price**: Not on record
  - **Status**: Available
- **Type B1 / B2**: 926 sqft | 2+1 Bedrooms, 2 Bathrooms
  - **Gross Price**: Not on record per layout
  - **Nett Price**: Not on record per layout (37th floor TRX-view unit approx. RM1.9M – RM2.04M nett [KB:RF8BP74FpjU2decVPsCd])
  - **Status**: Available
- **Type B3**: 958 sqft | 2+1 Bedrooms, 2 Bathrooms [KB:HuF31VZZiKKeEV7f23Pb]
  - **Gross Price**: Not on record
  - **Nett Price**: Not on record
  - **Status**: Available
- **Type C**: 1,023 sqft (Dual Key) | 2+1 Bedrooms, 2 Bathrooms
  - **Gross Price**: Not on record
  - **Nett Price**: Not on record
  - **Status**: Available
- **Type D**: 1,238 sqft [KB:HuF31VZZiKKeEV7f23Pb]
  - **Gross Price**: Not on record
  - **Nett Price**: Not on record
  - **Status**: **Sold Out** [KB:HuF31VZZiKKeEV7f23Pb]
### Project Specifications
- **Area**: Jalan Tun Razak, ~50m in front of TRX Mall (KLCC / Bukit Bintang area), Kuala Lumpur
- **Developer**: Multibay Development Sdn Bhd (subsidiary of Golden Eagle Group) [KB:I1AWH6hb8uG6yjHSQBEq]
- **Land Title**: Commercial Title under HDA (Master Title: H.S(D) 12160, PT50001, Sek 67) [KB:HuF31VZZiKKeEV7f23Pb]
- **Maintenance Fee**: Approx. RM0.70 – RM0.80 psf (including sinking fund) [KB:I1AWH6hb8uG6yjHSQBEq]
- **Tenure**: Leasehold (expiry 11 Feb 2111 / developer to renew fresh 99-year lease) [KB:I1AWH6hb8uG6yjHSQBEq]
- **Total Units**: 490 residential units [KB:I1AWH6hb8uG6yjHSQBEq]
- **Total Floors**: 60 storeys [KB:I1AWH6hb8uG6yjHSQBEq]
- **Completion / Vacant Possession Date**: Target Q3 – Q4 2026 (Dec 2026) [KB:I1AWH6hb8uG6yjHSQBEq]
### Top Reasons to Buy [KB:RF8BP74FpjU2decVPsCd]
1. **Unbeatable Location**: Located 50m from TRX Mall, right next to The Regent Hotel by IHG.
2. **Seamless Connectivity**: Direct 30m underground covered walkway to TRX MRT Interchange (the only fully covered walkway residence into TRX Mall).
3. **Exclusive Low Density**: Only 490 units, offering premier unblocked TRX park and Exchange 106 views.
4. **Integrated Living**: Part of a high-end mixed development (5-star Hotel, Grade-A Office, and Luxury Residence).
5. **Impending Handover**: Targeted handover by Q4 2026.
### Furnishing &amp; Car Park Allocation
- **Furnishing**: Partly furnished / fully fitted [KB:HuF31VZZiKKeEV7f23Pb]:
  - Air-conditioning in living area and all bedrooms
  - Full dry kitchen cabinet with Electrolux hob, hood, 2-in-1 washer/dryer, fridge, and oven
  - Built-in wardrobes in all bedrooms
  - Storage water heater and shower screens
  - Bathroom vanity cabinet, mirror, and American Standard sanitary wares
  - Digital lockset
- **Car Park Allocation**: 1 car park bay per unit (Levels 5 to 9), **EXCEPT** 30 units of Type A1 (624 sf) on Levels 13 to 22 (Units 2, 3, 6) which have **no car park** [KB:I1AWH6hb8uG6yjHSQBEq] [KB:HuF31VZZiKKeEV7f23Pb].</t>
        </is>
      </c>
    </row>
    <row r="67" ht="60" customHeight="1">
      <c r="A67" s="19" t="inlineStr">
        <is>
          <t>P60</t>
        </is>
      </c>
      <c r="B67" s="20" t="inlineStr">
        <is>
          <t>SWNK Houze @ BBCC (Bukit Bintang City Centre)</t>
        </is>
      </c>
      <c r="C67" s="19" t="n">
        <v>24.9</v>
      </c>
      <c r="D67" s="20" t="inlineStr">
        <is>
          <t>chat-b8b33404-3060-483e-a247-5e2a503f7933</t>
        </is>
      </c>
      <c r="E67" s="24" t="inlineStr">
        <is>
          <t>Here are the details for **SWNK Houze @ BBCC (Bukit Bintang City Centre)**:
### **Layout Details**
*(Note: Specific per-unit nett and gross total prices are not on record; pricing is recorded at from RM1,300 psf)*
* **Studio**: 463 sq. ft. | 0 Bedrooms | Nett Price: Not on record | Gross Price: Not on record
* **1 Bedroom**: 549 sq. ft. | 1 Bedroom | Nett Price: Not on record | Gross Price: Not on record
* **1+1 Bedroom**: 657 sq. ft. | 1 Bedroom | Nett Price: Not on record | Gross Price: Not on record
* **2 Bedrooms**: 818 sq. ft. | 2 Bedrooms | Nett Price: Not on record | Gross Price: Not on record
* **Dual Key (2 Bedrooms)**: 861 sq. ft. | 2 Bedrooms | Nett Price: Not on record | Gross Price: Not on record
* **Studio Loft**: 667 sq. ft. | 0 Bedrooms | Nett Price: Not on record | Gross Price: Not on record
*(Additional listed unit options: Dual Key 3 Bedrooms Type H - 1,227 sq. ft. and Type F - 1,238 sq. ft.; nett and gross prices not on record)*
---
### **Project Specifications**
* **Area**: Bukit Bintang City Centre (BBCC), Jalan Hang Tuah, Kuala Lumpur [KB:Mu3WUwnBOKuOTY8F9b9G]
* **Developer**: BBCC Development Sdn Bhd (Joint Venture between EcoWorld, EPF, and UDA Holdings) [KB:Mu3WUwnBOKuOTY8F9b9G]
* **Land Title**: Commercial under HDA [KB:Iz0OWBM4GqZuGgcBOUlU]
* **Maintenance Fee**: RM0.66 psf (includes sinking fund) [KB:Iz0OWBM4GqZuGgcBOUlU]
* **Tenure**: Leasehold (till 05.12.2110) [KB:Iz0OWBM4GqZuGgcBOUlU]
* **Total Units**: 441 units [KB:Iz0OWBM4GqZuGgcBOUlU]
* **Total Floors**: 30 storeys
* **Completion / Vacant Possession Date**: Target Q3 2026 [KB:Iz0OWBM4GqZuGgcBOUlU]
---
### **Key Features &amp; Amenities**
* **Top Reasons to Buy**: Transit-Oriented Development (TOD) directly integrated with BBCC Transit Hub (Hang Tuah LRT, Monorail, and Merdeka MRT); direct connection to LaLaport Shopping Mall, Zepp Hall, and GSC Cinemas [KB:Mu3WUwnBOKuOTY8F9b9G].
* **Furnishing**: Upgraded partial furnishing including plaster ceiling with downlights, kitchen cabinet with hob &amp; hood, fridge, washer cum dryer, built-in storage water heater, shower screen &amp; door, digital lockset, master bedroom wardrobe, air conditioning units, and bathroom vanity top [KB:Iz0OWBM4GqZuGgcBOUlU].
* **Car Park Allocation**: 249 accessory parcel car parks, 94 floating car parks, 22 visitor car parks, and 2 OKU car parks (located Basement 4 to Ground Floor); specific unit-by-unit car park assignment is not on record [KB:Iz0OWBM4GqZuGgcBOUlU].</t>
        </is>
      </c>
    </row>
    <row r="68" ht="60" customHeight="1">
      <c r="A68" s="19" t="inlineStr">
        <is>
          <t>P61</t>
        </is>
      </c>
      <c r="B68" s="20" t="inlineStr">
        <is>
          <t>Times Square 2 Residences Kuala Lumpur</t>
        </is>
      </c>
      <c r="C68" s="19" t="n">
        <v>29.9</v>
      </c>
      <c r="D68" s="20" t="inlineStr">
        <is>
          <t>chat-e1e7759f-0adc-49af-b1a1-3e2b52657fd7</t>
        </is>
      </c>
      <c r="E68" s="24" t="inlineStr">
        <is>
          <t>Here are the full details for **Times Square 2 Residences Kuala Lumpur** [KB:JVcM6xWLFndLrIAbZspi]:
### **Layout Details** [KB:JVcM6xWLFndLrIAbZspi, KB:Y0an5S3XK8p0gPprKwfi]
* **Type A (488 sqft)**: 1 Bedroom, 1 Bathroom
  * **Nett Price (Bumi)**: From RM 568,090
  * **Nett Price (Non-Bumi)**: From RM 607,290
  * **Gross Price**: Not on record
  * **Status**: Availability on record; specific sold-out unit breakdown not on record
* **Type B (678 sqft)**: 2 Bedrooms, 2 Bathrooms
  * **Nett Price (Bumi)**: From RM 844,626
  * **Nett Price (Non-Bumi)**: From RM 889,080
  * **Gross Price**: Not on record
  * **Status**: Availability on record; specific sold-out unit breakdown not on record
* **Type C (888 sqft)**: 2 Bedrooms, 2+1 Bathrooms (Dual-Key)
  * **Nett Price (Bumi)**: From RM 1,164,153
  * **Nett Price (Non-Bumi)**: From RM 1,214,580
  * **Gross Price**: Not on record
  * **Status**: Availability on record; specific sold-out unit breakdown not on record
* **Type D (1,038 sqft)**: 3 Bedrooms, 3 Bathrooms
  * **Nett Price (Bumi)**: From RM 1,518,736
  * **Nett Price (Non-Bumi)**: From RM 1,598,670
  * **Gross Price**: Not on record
  * **Status**: Availability on record; specific sold-out unit breakdown not on record
---
### **Project Specifications** [KB:JVcM6xWLFndLrIAbZspi, KB:Y0an5S3XK8p0gPprKwfi]
* **Area**: Bukit Bintang / KLCC / TRX Area, Kuala Lumpur
* **Developer**: Berjaya Group / Berjaya Properties
* **Land Title**: Commercial, under HDA
* **Tenure**: Freehold
* **Maintenance Fee**: RM 0.73 psf (inclusive of sinking fund)
* **Total Units**: 629 Units
* **Total Floors**: 41 Storeys (1 Tower)
* **Completion / VP Date**: 2028 Q1
* **Car Park Allocation**: No car park unit given; total 300+ car parks available with season parking rental at RM 300/month [KB:YBf2XsCtI8e668lpXmvm]
* **Furnishing**: Partially Furnished [KB:YBf2XsCtI8e668lpXmvm] (Includes digital lock, built-in shoe rack, full kitchen cabinet, hood &amp; hob, oven, fridge, washer dryer, 2-4 airconds, storage water heater, fully-fitted bathroom)
---
### **Top Reasons to Buy** [KB:JVcM6xWLFndLrIAbZspi, KB:UZtg58cz0OWLifr9liBw, KB:Y0an5S3XK8p0gPprKwfi]
1. **Prominent Listed Developer**: Built by Berjaya Group.
2. **Freehold Tenure**: Rare freehold property in the prime Bukit Bintang zone.
3. **Direct Connectivity**: Connected via link bridge to LaLaport Mall BBCC and Berjaya Times Square.
4. **Transit Accessibility**: Access to 3 train lines (Monorail, LRT, MRT Line 1).
5. **Lifestyle &amp; Investment**: Airbnb-friendly, pet-friendly, with Sky Pool &amp; Sky Lounge facilities.</t>
        </is>
      </c>
    </row>
    <row r="69" ht="60" customHeight="1">
      <c r="A69" s="19" t="inlineStr">
        <is>
          <t>P62</t>
        </is>
      </c>
      <c r="B69" s="20" t="inlineStr">
        <is>
          <t>The Manor KLCC</t>
        </is>
      </c>
      <c r="C69" s="19" t="n">
        <v>30.8</v>
      </c>
      <c r="D69" s="20" t="inlineStr">
        <is>
          <t>chat-6321cefc-bd8a-4d80-a7e2-1ffe0ea75854</t>
        </is>
      </c>
      <c r="E69" s="24" t="inlineStr">
        <is>
          <t>Here are the project details for **The Manor KLCC** based on D2's project record and knowledge base:
### Project Overview
* **Area / Location:** Persiaran Stonor, KLCC, Kuala Lumpur
* **Developer:** Desaria Property Sdn Bhd
* **Tenure:** Freehold [KB:oZZ1loSw39twdeHZlaJu]
* **Land Title:** Not on record
* **Maintenance Fee:** RM0.50 psf [KB:etFBDODCL08HPlvqECiq]
* **Total Units:** 484 units [KB:chl40uHd3DNhzSOxOhYI, KB:oZZ1loSw39twdeHZlaJu]
* **Total Floors:** 49 storeys [KB:oZZ1loSw39twdeHZlaJu]
* **Completion / Vacant Possession Date:** Handed over / completed (approx. 30% handed over in April 2023) [KB:etFBDODCL08HPlvqECiq], exact completion date not on record
* **Furnishing:** Not on record (comes with premium specifications: Ariston kitchenware, Duravit sanitaryware, marble flooring, solid timber bedroom flooring, and fully ducted VRV air-conditioning [KB:xEEjLcfYuwinVSoozm7k, KB:etFBDODCL08HPlvqECiq])
* **Car Park Allocation:** Not on record (car parks are on Levels 1–8 [KB:etFBDODCL08HPlvqECiq])
### Layout Breakdown
* **Per-Layout Table:** Not on record. (The structured unit layout table `unitTypes` is empty for this project, so individual layout designations, exact bedroom counts, gross prices, nett prices, and layout availability/sold-out statuses are not on record.)
* **Known Unit Sizes &amp; Pricing Range:** Unit sizes range from 1,100 sq ft to 2,600 sq ft [KB:etFBDODCL08HPlvqECiq] (including 1,139 sq ft, 1,322–1,323 sq ft, 1,926 sq ft, 2,341 sq ft, and 2,618 sq ft layouts) [KB:dtZzQXZWZRojLLNRtS3j, KB:xEEjLcfYuwinVSoozm7k, KB:chl40uHd3DNhzSOxOhYI]. Overall pricing averages around RM1,500–RM1,600 psf nett [KB:xEEjLcfYuwinVSoozm7k].
### Top Reasons to Buy [KB:xEEjLcfYuwinVSoozm7k]
1. **Competitive Pricing:** RM1,500–RM1,600 psf nett for a brand new completed development in KLCC.
2. **Prime Views:** Choices of units featuring million-dollar KLCC views.
3. **High Ceilings:** Extra high 11 ft ceilings (compared to standard 10 ft in most KLCC condos).
4. **Top-Notch Specifications:** Premium materials and fittings including double-glazed windows, Ariston kitchenware (Italy), Duravit sanitaryware, and fully ducted air-conditioning throughout.
5. **Convenient Transit Access:** 350m walk to MRT Conlay (1 stop to TRX financial district, Park &amp; Exchange Mall).
6. **Walkable to KLCC Park:** 550m walk to the 50-acre KLCC Park with direct access to Suria KLCC.</t>
        </is>
      </c>
    </row>
    <row r="70" ht="60" customHeight="1">
      <c r="A70" s="19" t="inlineStr">
        <is>
          <t>P63</t>
        </is>
      </c>
      <c r="B70" s="20" t="inlineStr">
        <is>
          <t>TRX Residences</t>
        </is>
      </c>
      <c r="C70" s="19" t="n">
        <v>34.9</v>
      </c>
      <c r="D70" s="20" t="inlineStr">
        <is>
          <t>chat-ea98b5b1-e542-4062-9743-916723eed662</t>
        </is>
      </c>
      <c r="E70" s="24" t="inlineStr">
        <is>
          <t>### Project Overview: TRX Residences (Project ID: DFZ9QGqJWkwcAfktHGBK)
* **Area / Location:** Tun Razak Exchange (TRX), Kuala Lumpur (Postcode: 55188) [KB:USdhBw2TdwgZ7kn7RCLT]
* **Developer:** Lendlease [KB:USdhBw2TdwgZ7kn7RCLT]
* **Land Title:** Commercial HDA for residential use [KB:USdhBw2TdwgZ7kn7RCLT]
* **Tenure:** Freehold [KB:USdhBw2TdwgZ7kn7RCLT]
* **Maintenance Fee:** Estimated RM 0.85 psf [KB:MkmTKbe4PspMKjOk7hsn]
* **Total Units:** 896 units [KB:USdhBw2TdwgZ7kn7RCLT]
* **Total Floors:** Tower 1: 53 storeys (443 units); Tower 2: 57 storeys (453 units) [KB:USdhBw2TdwgZ7kn7RCLT]
* **Completion / VP Date:** 2024 [KB:USdhBw2TdwgZ7kn7RCLT]
* **Top Reasons to Buy:** Not on record (Key highlights: Direct private link bridge to 10-acre TRX Park via Level 8, located in Malaysia's financial district, Green building certified [KB:MkmTKbe4PspMKjOk7hsn])
* **Furnishing:** Partly furnished (includes full air conditioning, Snaidero kitchen cabinets, Smeg hood, hob &amp; microwave oven, water heater, wardrobes, mechanical ventilation, Kohler sanitaryware, double-glazed low-E windows) [KB:MkmTKbe4PspMKjOk7hsn]
* **Car Park Allocation:**
  * 1 Bedroom &amp; 2 Bedrooms: 1 carpark [KB:MkmTKbe4PspMKjOk7hsn]
  * 3 Bedrooms (&gt; 1,345 sqft): 2 carparks (side-by-side) [KB:MkmTKbe4PspMKjOk7hsn]
---
### Layout Details &amp; Pricing
*Note: The structured layout table (unitTypes) is empty on record for this project. Specific individual gross and nett price lists per layout are not on record (project starting price on record is RM1,032,000).* [KB:USdhBw2TdwgZ7kn7RCLT]
* **1 Bedroom Layouts:**
  * Sizes: 474 sqft, 548 sqft, 624 sqft, 700 sqft, 721 sqft [KB:MkmTKbe4PspMKjOk7hsn]
  * Gross Price: Not on record
  * Nett Price: Not on record (Sample SPA nett price on record: RM1,355,000 for unit A-18-11, 700 sqft [KB:D5vwVHH3JcMVRVoinA4V])
  * Availability: Available
* **2 / 2+1 Bedroom Layouts:**
  * Sizes: 850 sqft, 1,076 sqft [KB:MkmTKbe4PspMKjOk7hsn]
  * Gross Price: Not on record
  * Nett Price: Not on record
  * Availability: 850 sqft marked as Sold Out [KB:vXrDk58Z0RoX4h4LRBJT]
* **3 Bedroom Layouts:**
  * Sizes: 1,184 sqft, 1,216 sqft, 1,259 sqft, 1,345 sqft, 1,625 sqft, 1,636 sqft [KB:MkmTKbe4PspMKjOk7hsn]
  * Gross Price: Not on record
  * Nett Price: Not on record
  * Availability: 3-room units marked as Sold Out [KB:vXrDk58Z0RoX4h4LRBJT]</t>
        </is>
      </c>
    </row>
    <row r="71" ht="60" customHeight="1">
      <c r="A71" s="19" t="inlineStr">
        <is>
          <t>P64</t>
        </is>
      </c>
      <c r="B71" s="20" t="inlineStr">
        <is>
          <t>The Oval Kuala Lumpur</t>
        </is>
      </c>
      <c r="C71" s="19" t="n">
        <v>27</v>
      </c>
      <c r="D71" s="20" t="inlineStr">
        <is>
          <t>chat-c416a487-377f-4f33-8261-aa489f4db8f0</t>
        </is>
      </c>
      <c r="E71" s="24" t="inlineStr">
        <is>
          <t>### The Oval Kuala Lumpur – Project Details
**Layouts &amp; Pricing:**
*Note: Per-layout structured table data (`unitTypes`) with specific gross/nett prices and individual sold-out status per unit layout is not on record.*
Main recorded unit configurations:
- **Sky Villa:** 3,724 sq. ft. &amp; 3,897 sq. ft. (3+1 Bedrooms, 5 Bathrooms) – 2 units per floor with private lift lobby [KB:KqONfsH8hzhAkqr8lwi2]
- **Mansionary Villa:** 7,793 sq. ft. – 1 unit per floor [KB:KqONfsH8hzhAkqr8lwi2]
- **Overall Price on Record:** Minimum price from RM3,734,674 (e.g. Unit E-25-2 List Price RM5,363,048 before direct 18% discount package [KB:8pcBMp2EDU8VYDpSssSy]).
- **Nett &amp; Gross Prices per Layout:** Not on record.
---
**Key Project Information:**
- **Area:** Jalan Binjai, Diplomatic Enclave, KL City Centre (KLCC)
- **Developer:** Oval Suites Sdn Bhd / Vendor: Titan Debut Sdn Bhd (Subsidiary of GuocoLand Malaysia Berhad) [KB:KqONfsH8hzhAkqr8lwi2]
- **Land Title:** Freehold Commercial title serviced residence [KB:KqONfsH8hzhAkqr8lwi2] / Residential title [KB:NZI10w75Nu1NX8fEcIL2]
- **Tenure:** Freehold
- **Maintenance Fee:** RM0.55 psf (inclusive of sinking fund) [KB:KqONfsH8hzhAkqr8lwi2]
- **Total Units:** 140 units (70 units per tower) [KB:KqONfsH8hzhAkqr8lwi2]
- **Total Floors:** 41 storeys per tower across 2 towers [KB:KqONfsH8hzhAkqr8lwi2]
- **Completion / VP Date:** Completed in 2009 [KB:KqONfsH8hzhAkqr8lwi2]
- **Furnishing:** Partly furnished (includes air conditioning, full kitchen with appliances &amp; island, built-in wardrobes in all bedrooms, full bathroom fittings) [KB:NZI10w75Nu1NX8fEcIL2]. Selected show units (e.g. W-05-01 &amp; W-05-02) are fully furnished [KB:NZI10w75Nu1NX8fEcIL2].
- **Car Park Allocation:** 2 basement car park bays per unit [KB:KqONfsH8hzhAkqr8lwi2]
---
**Top Reasons to Buy [KB:KqONfsH8hzhAkqr8lwi2]:**
1. **Prime Location:** Directly opposite KLCC 50-acre Park.
2. **Transit Proximity:** Adjacent to Persiaran KLCC MRT Station (2 stops to TRX, 1 stop to Pavilion Bukit Bintang).
3. **Ultra Low Density:** 140 total units on 2.14 acres (only 2 units per floor).
4. **XL Unit Floorplates:** Ranging from 3,724 sf to 7,793 sf.
5. **Attractive PSF Entry:** Around RM900 psf compared to surrounding developments like Binjai by the Park (~RM2,000 psf).
6. **Luxury Finishes:** Marble and timber flooring, 11 ft ceiling height with full-height wrap-around glass.
7. **180° Panoramic Views:** Expansive city views with balconies across almost all living areas.
*(Note: For specific unit availability updates or bank payment details, please consult D2 Sales Admin directly.)*</t>
        </is>
      </c>
    </row>
    <row r="72" ht="60" customHeight="1">
      <c r="A72" s="19" t="inlineStr">
        <is>
          <t>P65</t>
        </is>
      </c>
      <c r="B72" s="20" t="inlineStr">
        <is>
          <t>The Ritz- Carlton Residences</t>
        </is>
      </c>
      <c r="C72" s="19" t="n">
        <v>31.8</v>
      </c>
      <c r="D72" s="20" t="inlineStr">
        <is>
          <t>chat-e3b21fa1-54d5-42c1-a14b-10a975beb1a5</t>
        </is>
      </c>
      <c r="E72" s="24" t="inlineStr">
        <is>
          <t>Here are the details for **The Ritz-Carlton Residences**:
### Layouts &amp; Pricing
- **Layout-by-layout breakdown**: Not on record. (Unit sizes range from **1,023 sq. ft.** for 1-bedroom residences to **2,142 sq. ft.** for 2-bedroom residences. Individual layout code, exact nett/gross prices, and layout availability/sold-out status are not on record).
### Property Details
- **Area**: Jalan Sultan Ismail, KLCC Golden Triangle, Kuala Lumpur (near Petronas Twin Towers, luxury shopping &amp; dining)
- **Developer**: Not on record
- **Land Title**: Not on record
- **Maintenance Fee**: RM2.00 psf (inclusive of sinking fund)
- **Tenure**: Freehold
- **Total Units**: 288 units
- **Total Floors**: Not on record
- **Completion / VP Date**: Completed
- **Furnishing**: Fully ID furnished (semi-furnished option available at RM400k–RM600k lower)
- **Car Park Allocation**: Not on record (Valet / jockey parking provided by Ritz-Carlton concierge)
### Top Reasons to Buy
1. **Legendary Ritz-Carlton Hospitality &amp; Services**: Comprehensive 5-star service including concierge, doorman, jockey valet parking, and complimentary daily afternoon lounge service (coffee, tea &amp; dessert) for residents.
2. **Prime Golden Triangle Location**: Situated on Jalan Sultan Ismail with direct access to KLCC Twin Towers, fine dining, and the central financial district.
3. **Ultra-Luxury Specifications**: High-end fittings including Gaggenau appliances (oven, hood, hob, wine cellar), Bosch fridge, imported Italian marble kitchens, double-glazed Low-E windows, and Hansgrohe sanitary ware.
4. **Unmatched Value vs. Regional Branded Residences**: Offered at ~USD 700 psf compared to Ritz-Carlton Residences in Singapore (~USD 2,500 psf) and Bangkok (~USD 1,200 psf).</t>
        </is>
      </c>
    </row>
    <row r="73" ht="60" customHeight="1">
      <c r="A73" s="19" t="inlineStr">
        <is>
          <t>P66</t>
        </is>
      </c>
      <c r="B73" s="20" t="inlineStr">
        <is>
          <t>The Stride Office @ BBCC</t>
        </is>
      </c>
      <c r="C73" s="19" t="n">
        <v>20.9</v>
      </c>
      <c r="D73" s="20" t="inlineStr">
        <is>
          <t>chat-9757ee24-d969-452c-8246-e7e54b4e533e</t>
        </is>
      </c>
      <c r="E73" s="24" t="inlineStr">
        <is>
          <t>Here are the details on record for **The Stride Office @ BBCC** (Project ID: `8vxV90uXgjCKUvmJKQT7`):
### Layouts &amp; Pricing
*No layout-level price table (`unitTypes`) is on record. Built-up sizes listed in the project record are:*
- **1,087 sq. ft.** | Bedrooms: 0 (Office) | Nett Price: Not on record | Gross Price: Not on record
- **1,119 sq. ft.** | Bedrooms: 0 (Office) | Nett Price: Not on record | Gross Price: Not on record
- **1,184 sq. ft.** | Bedrooms: 0 (Office) | Nett Price: Not on record | Gross Price: Not on record
- **Whole Floor / Open Plan (11,383 sq. ft.)** | Bedrooms: 0 (Office) | Nett Price: Not on record | Gross Price: Not on record
### Project Specifications
- **Area:** Jalan Hang Tuah, BBCC, Bukit Bintang, Kuala Lumpur [KB:T4MYH11fGH7gD25IzrJg]
- **Developer:** BBCC Development Sdn Bhd (JV between UDA Holdings, EcoWorld, and EPF) [KB:T4MYH11fGH7gD25IzrJg]
- **Land Title:** Strata Office [KB:T4MYH11fGH7gD25IzrJg]
- **Maintenance Fee:** Not on record
- **Tenure:** Freehold
- **Total Units:** 276 strata office units [KB:T4MYH11fGH7gD25IzrJg]
- **Total Floors:** 46 storeys [KB:T4MYH11fGH7gD25IzrJg]
- **Completion / VP Date:** Not on record
- **Furnishing:** Not on record
- **Car Park Allocation:** Not on record
### Top Reasons to Buy
- **Transit-Integrated Hub:** Direct access to Hang Tuah LRT &amp; Monorail, direct link to Merdeka MRT, and pedestrian connection to Mitsui Shopping Park LaLaport.
- **Regus-Managed Business Facilities:** Dedicated business lounge, reception services, meeting rooms, and video conferencing facilities on Level 6 &amp; 6M.
- **Corporate Image &amp; Modern Design:** Grand hotel-style lobby, 8 passenger lifts, and Low-E glass façade with natural lighting optimization.</t>
        </is>
      </c>
    </row>
    <row r="74" ht="60" customHeight="1">
      <c r="A74" s="19" t="inlineStr">
        <is>
          <t>P67</t>
        </is>
      </c>
      <c r="B74" s="20" t="inlineStr">
        <is>
          <t>Rimbun Saujana Residency</t>
        </is>
      </c>
      <c r="C74" s="19" t="n">
        <v>31.9</v>
      </c>
      <c r="D74" s="20" t="inlineStr">
        <is>
          <t>chat-00bd7cc1-2e56-4f8e-967d-9b59cdd707d8</t>
        </is>
      </c>
      <c r="E74" s="24" t="inlineStr">
        <is>
          <t>### Rimbun Saujana Residency — Project Details
**Basic Overview**
- **Area:** Shah Alam, Selangor [KB:wQTTBN86MwYJlxvAdZpc]
- **Developer:** Saujana Development Sdn Bhd [KB:eAxh96uFbWzHSnBR9ZEC]
- **Land Title:** Residential [KB:eAxh96uFbWzHSnBR9ZEC]
- **Tenure:** Freehold [KB:eAxh96uFbWzHSnBR9ZEC]
- **Total Units:** 336 units [KB:eAxh96uFbWzHSnBR9ZEC]
- **Total Floors:** 11 storeys (13 levels including car park) [KB:eAxh96uFbWzHSnBR9ZEC]
- **Expected Completion / Vacant Possession Date:** April 2027 [KB:eAxh96uFbWzHSnBR9ZEC] [KB:wQTTBN86MwYJlxvAdZpc]
- **Maintenance Fee:** RM0.38 psf inclusive of sinking fund [KB:eAxh96uFbWzHSnBR9ZEC] [KB:wQTTBN86MwYJlxvAdZpc]
- **Car Park Allocation:** Not on record
---
### Layout Breakdown
*(Overall project price range: RM1,055,800 to RM1,459,800 [KB:Bh0SxrAb8bnSeqegWVhA]. Individual per-layout gross and nett prices are not on record.)*
- **Type A1**
  - Size: 1,173 sqft
  - Bedrooms: 2 Bedrooms (2R 2B with Balcony)
  - Gross Price: Not on record
  - Nett Price: Not on record
  - Status: Available
- **Type A2**
  - Size: 1,173 sqft
  - Bedrooms: 2 Bedrooms (2R 2B with Lanai)
  - Gross Price: Not on record
  - Nett Price: Not on record
  - Status: Available
- **Type B1**
  - Size: 1,432 sqft
  - Bedrooms: 3 Bedrooms (3R 3B with Balcony)
  - Gross Price: Not on record
  - Nett Price: Not on record
  - Status: Available
- **Type B2**
  - Size: 1,432 sqft
  - Bedrooms: 3 Bedrooms (3R 3B with Lanai)
  - Gross Price: Not on record
  - Nett Price: Not on record
  - Status: Available
- **Type C1**
  - Size: 1,894 sqft
  - Bedrooms: 3+1 Bedrooms (3+1R 3B with Balcony)
  - Gross Price: Not on record
  - Nett Price: Not on record
  - Status: Available
- **Type C2**
  - Size: 1,894 sqft
  - Bedrooms: 3+1 Bedrooms (3+1R 3B with Lanai)
  - Gross Price: Not on record
  - Nett Price: Not on record
  - Status: Available
---
### Top Reasons to Buy
- **Freehold Ownership** [KB:7JYvB7IcwncTsEUb19N9]
- **Low Density:** Only 336 units over 6.40 acres (52 units/acre), designed by award-winning Australian architect Philip Cox [KB:7JYvB7IcwncTsEUb19N9]
- **Prime Neighborhood:** Quiet, peaceful, and safe location living right next to Saujana Golf &amp; Country Club [KB:7JYvB7IcwncTsEUb19N9]
- **Resort Podium:** 127,000 sqft podium featuring resort-style landscape and 28 interactive facilities [KB:7JYvB7IcwncTsEUb19N9]
---
### Furnishing &amp; Value-Added Fittings
Value-added fittings provided at no extra cost [KB:Bh0SxrAb8bnSeqegWVhA]:
- Entrance Grill
- Kitchen Cabinet &amp; Kitchen Island
- Oven &amp; Microwave
- Hood &amp; Hob
- Washing Machine &amp; Dryer
- Air Conditioners
- Light Fittings &amp; Fans (Living &amp; Dining)
- Hot Water System</t>
        </is>
      </c>
    </row>
    <row r="75" ht="60" customHeight="1">
      <c r="A75" s="19" t="inlineStr">
        <is>
          <t>P68</t>
        </is>
      </c>
      <c r="B75" s="20" t="inlineStr">
        <is>
          <t>Luminar Residence Subang by BRDB</t>
        </is>
      </c>
      <c r="C75" s="19" t="n">
        <v>38.8</v>
      </c>
      <c r="D75" s="20" t="inlineStr">
        <is>
          <t>chat-94af6a25-752a-441e-ba17-9556a318ab13</t>
        </is>
      </c>
      <c r="E75" s="24" t="inlineStr">
        <is>
          <t>Here are the details for **Luminar Residence Subang by BRDB** (Project ID: `D1YbEPT7QI5kLZvfrnPW`):
### Layout Breakdown
- **Type A**: 549 sq.ft. | 1+1 Bedrooms, 1 Bathroom | **Nett Price**: RM411,000 – RM466,000 | **Gross Price**: RM847 psf | **Car Park**: 1–2 CP | **Status**: Available (Not sold out) [KB:QRd9cyypsHICbTvqWH0S]
- **Type B**: 721 sq.ft. | 1+1 Bedrooms, 1 Bathroom | **Nett Price**: RM492,000 – RM566,000 | **Gross Price**: RM780 psf | **Car Park**: 2 CP | **Status**: Available (Not sold out) [KB:QRd9cyypsHICbTvqWH0S]
- **Type C**: 872 sq.ft. | 2 Bedrooms, 2 Bathrooms | **Nett Price**: RM575,000 – RM680,000 | **Gross Price**: RM780 psf | **Car Park**: 2 CP | **Status**: Available (Not sold out) [KB:QRd9cyypsHICbTvqWH0S]
- **Type D**: 1,076 sq.ft. | 2+1 Bedrooms, 2 Bathrooms | **Nett Price**: RM680,000 – RM749,000 | **Gross Price**: RM700 psf | **Car Park**: 2 CP | **Status**: Available (Not sold out) [KB:QRd9cyypsHICbTvqWH0S]
- **Type E**: 1,389 sq.ft. | 3 Bedrooms, 2 Bathrooms | **Nett Price**: RM885,000 – RM977,000 | **Gross Price**: RM700 psf | **Car Park**: 3 CP | **Status**: Available (Not sold out) [KB:QRd9cyypsHICbTvqWH0S]
### Project Specifications
- **Area / Location**: Subang Jaya (Jalan FA 2, Federal Avenue, 47500 Subang Jaya, Selangor) [KB:QRd9cyypsHICbTvqWH0S] [KB:OPTDiEkM4geuqbyLrNHG]
- **Developer**: BRDB (BSC, 111 Menerung, Miranda, etc.) [KB:QRd9cyypsHICbTvqWH0S]
- **Land Title**: Commercial HDA (Serviced Apartment) [KB:QRd9cyypsHICbTvqWH0S]
- **Tenure**: Freehold [KB:QRd9cyypsHICbTvqWH0S]
- **Maintenance Fee**: Est. RM0.38 psf (inclusive of sinking fund) [KB:QRd9cyypsHICbTvqWH0S]
- **Total Units**: 751 units [KB:QRd9cyypsHICbTvqWH0S]
- **Total Floors**: 47 storeys (Tower A: 47 floors / 358 units; Tower B: 47 floors / 393 units) [KB:OPTDiEkM4geuqbyLrNHG]
- **Completion / Vacant Possession Date**: Target Q4 2029 (54 months on SPA) [KB:QRd9cyypsHICbTvqWH0S]
- **Car Park Allocation**: 1 to 3 car parks depending on unit layout (Type A: 1–2 CP; Types B, C, D: 2 CP; Type E: 3 CP)
### Furnishing Package
- **All Units (Types A–E)**: Digital lockset, air-conditioners (living &amp; bedrooms except study), bathroom fittings &amp; instant water heater, washer cum dryer [KB:OPTDiEkM4geuqbyLrNHG].
- **Types A, B &amp; C Extra**: Kitchen cabinet, hood &amp; hob, fridge, microwave.
### Top Reasons to Buy
1. **Developed by BRDB**: Master developer behind premier luxury projects such as Bangsar Shopping Centre, One Menerung, and 111 Menerung.
2. **Freehold Mixed Development**: Low entry price in Subang Jaya for a freehold property.
3. **Pet-Friendly Residence**: Includes 1.9 acres of green landscaping and 3 public/pet parks right at your doorstep.
4. **Direct Highway Link**: Dedicated link bridge providing direct access to and from the Federal Highway.
5. **Convenient Lifestyle Hub**: Walkable to retail and F&amp;B amenities, surrounded by top education hubs, healthcare, and shopping malls.</t>
        </is>
      </c>
    </row>
    <row r="76" ht="60" customHeight="1">
      <c r="A76" s="19" t="inlineStr">
        <is>
          <t>P69</t>
        </is>
      </c>
      <c r="B76" s="20" t="inlineStr">
        <is>
          <t>Accent PJ</t>
        </is>
      </c>
      <c r="C76" s="19" t="n">
        <v>27.9</v>
      </c>
      <c r="D76" s="20" t="inlineStr">
        <is>
          <t>chat-e0455df7-426e-4053-88c0-bc15dc8e0b02</t>
        </is>
      </c>
      <c r="E76" s="24" t="inlineStr">
        <is>
          <t>Here are the details for **Accent PJ** (Project ID: `Tg0VA12fHdK8vdZXPv6s`):
### Layout Details
- **Layout Breakdown (Size, Bedrooms, Gross &amp; Nett Price, Sold Out Status)**: **Not on record** (a structured layout table is not on record for this project). *Indicative unit sizes mentioned in the sales kit range from ~1,100 sq ft to 1,880 sq ft [KB:ihW2hVF7ABxzFN5G61lJ], with indicative nett pricing ranging from ~RM900 to RM950 psf [KB:7oxjFSGSb6wE28tDQeCU].*
### Project Specifications
- **Area**: Section 13, Petaling Jaya (PJ) [KB:efk56G9FmbWycBptJKuK]
- **Developer**: Avaland Berhad (Ayala Land Group) [KB:efk56G9FmbWycBptJKuK]
- **Land Title**: Commercial HDA [KB:efk56G9FmbWycBptJKuK]
- **Tenure**: Leasehold [KB:efk56G9FmbWycBptJKuK]
- **Total Units**: 231 units [KB:efk56G9FmbWycBptJKuK]
- **Total Floors**: 38 storeys (1 Tower) [KB:efk56G9FmbWycBptJKuK]
- **Completion / Vacant Possession Date**: Estimated 2030 [KB:efk56G9FmbWycBptJKuK]
- **Maintenance Fee**: RM0.45 – RM0.55 psf [KB:efk56G9FmbWycBptJKuK]
- **Car Park Allocation**: 2–3 car parks (single / tandem) standard per unit [KB:efk56G9FmbWycBptJKuK]
- **Furnishing**: Air-conditioning for living area &amp; all bedrooms, storage water heater for master bath (Type A &amp; B), Type A master bath with bathtub and his &amp; hers vanity
### Top Reasons to Buy [KB:ZcYLsou3Ovp58QwVXT71] [KB:xSDM5nqf680elnZclQ7A]
1. **Backed by a Major Developer**: Developed by Avaland Berhad (part of Ayala Land Group) [KB:ZcYLsou3Ovp58QwVXT71].
2. **Private Lift Lobby for All Units**: The only residence in PJ Section 13 offering private lift lobbies for every unit [KB:ZcYLsou3Ovp58QwVXT71].
3. **Low Density**: Only 231 units over 2.17 acres (106 units/acre) with 49,500 sq ft of facilities [KB:ZcYLsou3Ovp58QwVXT71].
4. **Corner Layout Design**: Every unit is structured like a semi-D corner lot for optimal ventilation and light [KB:xSDM5nqf680elnZclQ7A].
5. **Rare Sized Layouts in PJ**: Offers generous unit sizes (up to 1,880 sq ft) that are rare in new PJ developments [KB:xSDM5nqf680elnZclQ7A].
6. **Prime Accessibility**: Located next to Jaya 33 with direct, fast access to the Federal Highway [KB:xSDM5nqf680elnZclQ7A].
7. **Award-Winning Architect**: Designed by WDA Architects [KB:xSDM5nqf680elnZclQ7A].
8. **Quality Bathroom Fittings**: Standard fitted with Roca sanitary ware [KB:ZcYLsou3Ovp58QwVXT71].</t>
        </is>
      </c>
    </row>
    <row r="77" ht="60" customHeight="1">
      <c r="A77" s="19" t="inlineStr">
        <is>
          <t>P70</t>
        </is>
      </c>
      <c r="B77" s="20" t="inlineStr">
        <is>
          <t>26 Araville PJ</t>
        </is>
      </c>
      <c r="C77" s="19" t="n">
        <v>26</v>
      </c>
      <c r="D77" s="20" t="inlineStr">
        <is>
          <t>chat-1a7a4914-f565-428b-a8cb-72aff7975156</t>
        </is>
      </c>
      <c r="E77" s="24" t="inlineStr">
        <is>
          <t>Here are the details for **26 Araville PJ**:
### Layout &amp; Pricing Details
* **Layout Type / Size:** 3-Storey Unit, 3,665 sq ft (24’ x 55’) [KB:tHP5FqNmvnvgXlfR5QcF]
* **Bedrooms / Bathrooms:** 5 + 1 Bedrooms, 6 Bathrooms [KB:0QkNnXEPPx3lE0z3FgcS]
* **Gross Price:** Not on record
* **Nett Price:** Not on record
* **Sold-Out Status:** Not on record
---
### Development Overview
* **Area:** Petaling Jaya (Jalan Masjid, along the street of Pelangi Utama Condominium) [KB:Zi3aq2Z9E7rllWFKUH1X, KB:tHP5FqNmvnvgXlfR5QcF]
* **Developer:** Pujangga Budiman [KB:Zi3aq2Z9E7rllWFKUH1X]
* **Land Title:** Strata [KB:Zi3aq2Z9E7rllWFKUH1X, KB:tHP5FqNmvnvgXlfR5QcF]
* **Tenure:** Leasehold till 10 March 2118 (94 years remaining as of 2024) [KB:Zi3aq2Z9E7rllWFKUH1X, KB:tHP5FqNmvnvgXlfR5QcF]
* **Maintenance Fee:** Estimated RM0.22 psf (approx. RM800 – RM1,000 / month) [KB:Zi3aq2Z9E7rllWFKUH1X, KB:tHP5FqNmvnvgXlfR5QcF]
* **Total Units:** 26 units only (on 1.5 acres) [KB:Zi3aq2Z9E7rllWFKUH1X, KB:tHP5FqNmvnvgXlfR5QcF]
* **Total Floors:** 3-Storey units [KB:0QkNnXEPPx3lE0z3FgcS]
* **Completion / Vacant Possession Date:** Q4 2024 / Q1 2025 [KB:Zi3aq2Z9E7rllWFKUH1X, KB:tHP5FqNmvnvgXlfR5QcF]
* **Car Park Allocation:** 2 carparks per unit [KB:0QkNnXEPPx3lE0z3FgcS]
---
### Furnishing Included
* Air-conditioning system (piping only) [KB:tHP5FqNmvnvgXlfR5QcF]
* Solar water heater with 2 stainless steel water tanks (275 gal each) [KB:tHP5FqNmvnvgXlfR5QcF]
* Home security alarm system [KB:tHP5FqNmvnvgXlfR5QcF]
* Toilet fittings (Johnson Suisse) [KB:tHP5FqNmvnvgXlfR5QcF]
---
### Top Reasons to Buy
* **Low-Density &amp; Exclusive:** Only 26 units across 1.5 acres of land in a gated &amp; guarded community [KB:tHP5FqNmvnvgXlfR5QcF, KB:0QkNnXEPPx3lE0z3FgcS].
* **Prime Connectivity:** 3 traffic lights (approx. 2 km) to 1 Utama Shopping Centre, with easy access to major highways [KB:tHP5FqNmvnvgXlfR5QcF].
* **Public Transport Access:** Close to the upcoming LRT 3 Kayu Ara station [KB:tHP5FqNmvnvgXlfR5QcF].
* **Proximity to International Schools:** Near The British International School (1.5 km) and St. Joseph Institution International School (3.6 km) [KB:tHP5FqNmvnvgXlfR5QcF].</t>
        </is>
      </c>
    </row>
    <row r="78" ht="60" customHeight="1">
      <c r="A78" s="19" t="inlineStr">
        <is>
          <t>P71</t>
        </is>
      </c>
      <c r="B78" s="20" t="inlineStr">
        <is>
          <t>The Atera, PJ by Paramount Property</t>
        </is>
      </c>
      <c r="C78" s="19" t="n">
        <v>30.2</v>
      </c>
      <c r="D78" s="20" t="inlineStr">
        <is>
          <t>chat-c1ba9d69-485d-47fe-ba6e-5937ddcc27c1</t>
        </is>
      </c>
      <c r="E78" s="24" t="inlineStr">
        <is>
          <t>### **The Atera, PJ by Paramount Property** (Project ID: `4g4sxyf8GAVWkmXhOca9`)
#### **Layout Details**
* **Type A**: Not for sale [KB:CxbsLqOkfJmyXGYk4Now]
* **Type B**: 775 sq ft | 2 Bedrooms, 2 Baths | Nett Price: Not on record | Gross Price: Not on record *(Indicative rate: RM780 – RM820 psf [KB:CxbsLqOkfJmyXGYk4Now])*
* **Type C**: 1,022 sq ft | 3 Bedrooms, 2 Baths | Nett Price: Not on record | Gross Price: Not on record *(Indicative rate: RM780 – RM820 psf [KB:CxbsLqOkfJmyXGYk4Now])*
* **Type D**: 1,420 sq ft | 4 Bedrooms, 3 Baths | Nett Price: Not on record | Gross Price: Not on record *(Indicative rate: RM780 – RM820 psf [KB:CxbsLqOkfJmyXGYk4Now])*
#### **Project Specifications**
* **Area**: Jalan 51A/223, Petaling Jaya (PJ West) [KB:CxbsLqOkfJmyXGYk4Now]
* **Developer**: Paramount Properties (listed developer with 40+ years experience) [KB:CxbsLqOkfJmyXGYk4Now]
* **Land Title**: Commercial under HDA [KB:CxbsLqOkfJmyXGYk4Now]
* **Maintenance Fee**: RM0.32 psf (inclusive of sinking fund) [KB:CxbsLqOkfJmyXGYk4Now]
* **Tenure**: Leasehold (to be renewed fresh 99 years by 2029) [KB:CxbsLqOkfJmyXGYk4Now]
* **Total Units**: 
  * Phase 1 (Tower 1): 676 units [KB:CxbsLqOkfJmyXGYk4Now]
  * Phase 2 (Tower 2): 788 units [KB:CxbsLqOkfJmyXGYk4Now]
  * Phase 3 (Tower 3): Future development [KB:CxbsLqOkfJmyXGYk4Now]
* **Total Floors**: 48 stories (Tower 1) / 52 stories (Tower 2) [KB:CxbsLqOkfJmyXGYk4Now]
* **Target Completion / VP Date**: End of 2029 [KB:CxbsLqOkfJmyXGYk4Now]
* **Top Reasons to Buy**: Not on record (please check with D2 sales admin)
* **Furnishing**: Partly furnished (includes dry kitchen top &amp; bottom cabinets, melamine kitchen top, cooking hood &amp; hob, bathroom shower screen, instant water heater, living room air-conditioner, master bedroom air-conditioner)
* **Car Park Allocation**: 1–2 car parks per unit [KB:CxbsLqOkfJmyXGYk4Now]</t>
        </is>
      </c>
    </row>
    <row r="79" ht="60" customHeight="1">
      <c r="A79" s="19" t="inlineStr">
        <is>
          <t>P72</t>
        </is>
      </c>
      <c r="B79" s="20" t="inlineStr">
        <is>
          <t>Anyara Hills</t>
        </is>
      </c>
      <c r="C79" s="19" t="n">
        <v>21.7</v>
      </c>
      <c r="D79" s="20" t="inlineStr">
        <is>
          <t>chat-0e679315-33d5-4e53-aca3-7407b43f5e40</t>
        </is>
      </c>
      <c r="E79" s="24" t="inlineStr">
        <is>
          <t>Here are the project details for **Anyara Hills** [KB:lcoAvNQusTRmeGYoxghX]:
### **Layout Details**
- **Layout Table / Per-Layout Nett &amp; Gross Prices / Bedrooms:** Not on record (Anyara Hills consists of 1-acre homestead/bungalow land plots rather than standardized floor layouts; specific per-layout price breakdown table is not on record).
---
### **Project Specifications**
- **Area:** Semenyih [KB:lcoAvNQusTRmeGYoxghX]
- **Developer:** KHK Land [KB:lcoAvNQusTRmeGYoxghX]
- **Land Title:** Agriculture land, Individual title [KB:lcoAvNQusTRmeGYoxghX]
- **Maintenance Fee:** RM2,500 per month [KB:2URqRFmnTI2O0U8sGyxL]
- **Tenure:** Freehold [KB:lcoAvNQusTRmeGYoxghX]
- **Total Units:** 428 exclusive 1-acre lots across 584 acres [KB:lcoAvNQusTRmeGYoxghX]
- **Total Floors:** Not on record
- **Completion / Vacant Possession Date:** Phase 1 handover has commenced [KB:szGvO53EFUCcxFk3pkia]; exact project-wide completion date is not on record
- **Furnishing:** Not on record
- **Car Park Allocation:** Not on record (custom residential builds on private 1-acre plots)
---
### **Top Reasons to Buy** [KB:szGvO53EFUCcxFk3pkia]
- **Exclusive Low-Density Masterplan:** 584 acres of freehold private countryside living with over 70% open spaces and greenery.
- **Unrivalled Security:** 24/7 armed guards, 200+ CCTVs, 12-foot double security wall with electric fencing, and autonomous drone patrol system.
- **Luxury Enclave Amenities:** On-site natural hot spring &amp; spa, helicopter pad, private lakes, and 8.2km jogging track.
- **Strategic Accessibility:** Approximately 25 minutes to KL City Centre via new bypass road.</t>
        </is>
      </c>
    </row>
    <row r="80" ht="60" customHeight="1">
      <c r="A80" s="19" t="inlineStr">
        <is>
          <t>P73</t>
        </is>
      </c>
      <c r="B80" s="20" t="inlineStr">
        <is>
          <t>Yanu Hills @ Bon Estates</t>
        </is>
      </c>
      <c r="C80" s="19" t="n">
        <v>23</v>
      </c>
      <c r="D80" s="20" t="inlineStr">
        <is>
          <t>chat-d61c01de-73be-4c95-88a5-d75cc572fded</t>
        </is>
      </c>
      <c r="E80" s="24" t="inlineStr">
        <is>
          <t>Here are the project details for **Yanu Hills @ Bon Estates**:
### Layout Details
- **Individual Layout Breakdown**: **not on record** (detailed unit-by-unit table is not on record).
- **Built-up Size**: 6,686 – 8,057 sq.ft. (Land size: 6,631 – 11,184 sq.ft.) [KB:J3ZGNkj9jeWKiMqwX5Nw, KB:XZkGV2oVRL3pv4W5sw9Y]
- **Bedrooms**: 5 bedrooms (all en-suite) [KB:XZkGV2oVRL3pv4W5sw9Y]
- **Nett Price**: From RM5,700,000 (after 5% discount) [KB:XZkGV2oVRL3pv4W5sw9Y]
- **Gross Price**: **not on record**
- **Sold Out Status per Layout**: **not on record**
### Project Specifications
- **Area**: Taman Nadayu, Taman Melawati (Bukit Tabur), Selangor [KB:1WZCCWkEm5w5M57mfdNw, KB:VmS6RYBIEEdnxFCef8Nf]
- **Developer**: Bon Estates (Bon Enclave Sdn Bhd) [KB:VmS6RYBIEEdnxFCef8Nf, KB:tHkBqlf0YIy9rOMiP6Aw]
- **Land Title**: Selangor Individual [KB:1WZCCWkEm5w5M57mfdNw, KB:XZkGV2oVRL3pv4W5sw9Y]
- **Maintenance Fee**: RM1,400/month [KB:1WZCCWkEm5w5M57mfdNw, KB:XZkGV2oVRL3pv4W5sw9Y]
- **Tenure**: Freehold [KB:1WZCCWkEm5w5M57mfdNw, KB:J3ZGNkj9jeWKiMqwX5Nw]
- **Total Units**: 10 units [KB:1WZCCWkEm5w5M57mfdNw, KB:J3ZGNkj9jeWKiMqwX5Nw]
- **Total Floors**: 9 units – 4 storeys &amp; 1 unit – 2 storeys [KB:J3ZGNkj9jeWKiMqwX5Nw]
- **Completion / Vacant Possession Date**: Target Completion Q1 2028 (CCC expected 2027) [KB:XZkGV2oVRL3pv4W5sw9Y]
- **Furnishing**: **not on record**
- **Car Park Allocation**: **not on record**
### Top Reasons to Buy
- **Ultra-Exclusive Low Density**: Only 10 luxury bungalow units in total [KB:1WZCCWkEm5w5M57mfdNw, KB:J3ZGNkj9jeWKiMqwX5Nw].
- **Scenic &amp; Prime Location**: Nestled at Bukit Tabur in Taman Melawati with panoramic natural views [KB:J3ZGNkj9jeWKiMqwX5Nw, KB:XZkGV2oVRL3pv4W5sw9Y].
- **Tropical Modernist Architecture**: Inspired by Brazilian design, featuring private pools, private lifts, column-free structures, and central courtyards [KB:J3ZGNkj9jeWKiMqwX5Nw, KB:VmS6RYBIEEdnxFCef8Nf].
- **Seamless Highway Access**: Direct connectivity to major routes including MRR2, DUKE, AKLEH, SPE, and SUKE [KB:XZkGV2oVRL3pv4W5sw9Y, KB:tHkBqlf0YIy9rOMiP6Aw].</t>
        </is>
      </c>
    </row>
    <row r="81" ht="60" customHeight="1">
      <c r="A81" s="19" t="inlineStr">
        <is>
          <t>P74</t>
        </is>
      </c>
      <c r="B81" s="20" t="inlineStr">
        <is>
          <t>Rafflesia @ Hill 4</t>
        </is>
      </c>
      <c r="C81" s="19" t="n">
        <v>30</v>
      </c>
      <c r="D81" s="20" t="inlineStr">
        <is>
          <t>chat-af30c844-ea66-4465-8a73-44e4cd10c6fc</t>
        </is>
      </c>
      <c r="E81" s="24" t="inlineStr">
        <is>
          <t>### Project Overview: Rafflesia @ Hill 4
- **Project Name:** Rafflesia @ Hill 2, 3 &amp; 4 (Hill 4 Phase)
- **Area / Location:** Damansara Perdana [KB:sGqAWBJMlNg2krpiXxKU]
- **Developer:** MK Land [KB:sGqAWBJMlNg2krpiXxKU]
- **Land Title:** Residential (Individual) [KB:sGqAWBJMlNg2krpiXxKU]
- **Tenure:** Leasehold (Renew 99 years upon handover) [KB:sGqAWBJMlNg2krpiXxKU]
- **Maintenance Fee:** Currently RM600/month; RM450/month once handed over to MBPJ [KB:sGqAWBJMlNg2krpiXxKU]
- **Total Units:** 22 units (Hill 4) [KB:sGqAWBJMlNg2krpiXxKU]
- **Total Floors:** 3-Storey Semi-Detached [KB:sGqAWBJMlNg2krpiXxKU]
- **Completion / Vacant Possession Date:** Q2 2027 (Hill 4) / Q1 2027 [KB:sGqAWBJMlNg2krpiXxKU]
- **Furnishing:** Bare Unit with Solar Hot Water, Free 4 Air-Conditioners, and Smart Home System worth RM7,000 [KB:sGqAWBJMlNg2krpiXxKU]
- **Car Park Allocation:** 3 Carparks per unit
---
### Layout Details (Hill 4)
*All Hill 4 units feature 5+2 Bedrooms and 6 Bathrooms.*
1. **Type E &amp; E1**
   - **Built-up Size:** 3,964 sqft [KB:bbqblpFiXn1k1WavFd8k]
   - **Bedrooms:** 5+2 Bedrooms, 6 Bathrooms [KB:bbqblpFiXn1k1WavFd8k]
   - **Nett Price:** RM3,717,000 – RM3,783,000 [KB:bbqblpFiXn1k1WavFd8k]
   - **Gross Price:** RM988 psf (Selling Price: RM3,916,000 – RM3,983,400) [KB:bbqblpFiXn1k1WavFd8k, KB:LwJxXzdXRf0n7BQiCBq7]
   - **Status:** Available [KB:LwJxXzdXRf0n7BQiCBq7]
2. **Type F &amp; F1**
   - **Built-up Size:** 3,950 sqft
   - **Bedrooms:** 5+2 Bedrooms, 6 Bathrooms
   - **Nett Price:** RM3.6M – RM4.0M range
   - **Gross Price:** RM3,903,400 – RM4,021,900 [KB:LwJxXzdXRf0n7BQiCBq7]
   - **Status:** Available [KB:LwJxXzdXRf0n7BQiCBq7]
3. **Type G &amp; G1**
   - **Built-up Size:** 3,877 sqft [KB:bbqblpFiXn1k1WavFd8k]
   - **Bedrooms:** 5+2 Bedrooms, 6 Bathrooms [KB:bbqblpFiXn1k1WavFd8k]
   - **Nett Price:** RM3,901,000 – RM4,217,000 [KB:bbqblpFiXn1k1WavFd8k]
   - **Gross Price:** RM1,006 psf (Selling Price: RM3,901,500 – RM4,423,800) [KB:bbqblpFiXn1k1WavFd8k, KB:LwJxXzdXRf0n7BQiCBq7]
   - **Status:** Available [KB:LwJxXzdXRf0n7BQiCBq7]
4. **Type H &amp; H1**
   - **Built-up Size:** 3,877 sqft
   - **Bedrooms:** 5+2 Bedrooms, 6 Bathrooms
   - **Nett Price:** RM3.6M – RM4.0M range
   - **Gross Price:** Not on record
   - **Status:** Available
*(Note: Hill 2 layouts Type A/A1 &amp; B/B1 are Sold Out)*
---
### Top Reasons to Buy [KB:sGqAWBJMlNg2krpiXxKU, KB:bbqblpFiXn1k1WavFd8k]
1. **Nature's Neighbour:** Live adjacent to an 8-acre central park with a lake view, situated 330 meters above sea level.
2. **Lush 3-Storey Living:** Exclusive 3-storey semi-detached homes in a tranquil hillside environment.
3. **Unmatched Access:** Seamless connections to major expressways (DASH, LDP, Penchala Link).
4. **24/7 Security:** Gated and guarded community with round-the-clock patrolling.
5. **Eco &amp; Smart Features:** Integrated rainwater harvesting system, EV charging point ready, and smart home infrastructure.</t>
        </is>
      </c>
    </row>
    <row r="82" ht="60" customHeight="1">
      <c r="A82" s="19" t="inlineStr">
        <is>
          <t>P75</t>
        </is>
      </c>
      <c r="B82" s="20" t="inlineStr">
        <is>
          <t>DAYA Residence</t>
        </is>
      </c>
      <c r="C82" s="19" t="n">
        <v>25.9</v>
      </c>
      <c r="D82" s="20" t="inlineStr">
        <is>
          <t>chat-8feb0190-0a37-43a6-a423-25f97e0a8f14</t>
        </is>
      </c>
      <c r="E82" s="24" t="inlineStr">
        <is>
          <t>Here are the details for **DAYA Residence** (Project ID: `uIYSO5uCU40WD5kKEMi1`):
### Layout Breakdown
All layouts feature **6 Bedrooms, 6+2 Bathrooms** [KB:bCbUrxU9vRnqgjgOhw4q]. Breakdown of exact gross vs. nett prices per layout is *not on record* (sales packages offer Bumi 7% discount + 3% rebate, Non-Bumi 4.5% rebate via credit note [KB:bCbUrxU9vRnqgjgOhw4q]):
* **Type A**: 3,329 sqft (35x70) — RM2.60m – RM2.98m [KB:bCbUrxU9vRnqgjgOhw4q]
* **Type B**: 3,790 sqft (36x75) — RM2.90m – RM3.30m [KB:bCbUrxU9vRnqgjgOhw4q]
* **Type C**: 3,971 sqft (37x75) — RM3.00m – RM3.30m [KB:bCbUrxU9vRnqgjgOhw4q]
* **Type D**: 3,680 sqft (38x70) — RM2.90m – RM3.10m [KB:bCbUrxU9vRnqgjgOhw4q]
*Sold-out status:* None of the layouts are listed as sold out in the system records.
---
### Project Specifications
* **Area:** Kwasa Damansara, Shah Alam (Seksyen U4), Selangor [KB:NvNuhXjB8zwwTwI8ndTU]
* **Developer:** TSR Development Sdn Bhd [KB:NvNuhXjB8zwwTwI8ndTU]
* **Land Title:** Strata Title [KB:NvNuhXjB8zwwTwI8ndTU]
* **Maintenance Fee:** RM0.28 per sq. ft. (inclusive of sinking fund) [KB:bCbUrxU9vRnqgjgOhw4q]
* **Tenure:** Freehold [KB:NvNuhXjB8zwwTwI8ndTU]
* **Total Units:** 260 units [KB:NvNuhXjB8zwwTwI8ndTU]
* **Total Floors:** Not on record
* **Completion / Vacant Possession Date:** December 2026 [KB:NvNuhXjB8zwwTwI8ndTU]
* **Top Reasons to Buy:** Not on record
* **Furnishing:** Comes with Adel digital lockset, TOTO sanitary fittings, solar water heating system, White Horse tiles, Legrand switches, and timber bedroom flooring; full unit furnishing status is *not on record*
* **Car Park Allocation:** Stated as "Ample car parks"; exact per-layout allocation numbers are *not on record*</t>
        </is>
      </c>
    </row>
    <row r="83" ht="60" customHeight="1">
      <c r="A83" s="19" t="inlineStr">
        <is>
          <t>P76</t>
        </is>
      </c>
      <c r="B83" s="20" t="inlineStr">
        <is>
          <t>Vila Setara Happy Garden</t>
        </is>
      </c>
      <c r="C83" s="19" t="n">
        <v>31</v>
      </c>
      <c r="D83" s="20" t="inlineStr">
        <is>
          <t>chat-5a4aaecc-2d1c-41da-892f-e43f412a296d</t>
        </is>
      </c>
      <c r="E83" s="24" t="inlineStr">
        <is>
          <t>Here are the full project details for **Vila Setara Happy Garden**:
### Layout Details
* **Type A (Intermediate)**
  * **Built-up Size:** 4,100 sqft
  * **Bedrooms:** 6+1 rooms (6 bathrooms) [KB:FLoeORqN8HJxdp9hsavY]
  * **Gross &amp; Nett Price:** RM2,606,080 (separate gross vs. nett breakdown is **not on record**)
  * **Status:** Available
* **Type B (Intermediate)**
  * **Built-up Size:** 4,100 sqft
  * **Bedrooms:** 6+1 rooms (6 bathrooms) [KB:FLoeORqN8HJxdp9hsavY]
  * **Gross &amp; Nett Price:** RM2,606,080 (separate gross vs. nett breakdown is **not on record**)
  * **Status:** Available
* **Type C (Corner Lot)**
  * **Built-up Size:** 5,595 sqft
  * **Bedrooms:** 6+1 rooms (6 bathrooms) [KB:FLoeORqN8HJxdp9hsavY]
  * **Gross &amp; Nett Price:** RM4,222,880 – RM5,167,800 (separate gross vs. nett breakdown is **not on record**)
  * **Status:** **Sold out** (only intermediate units remaining [KB:C4582RRL2pDk91SvklL4])
--- 
### Project Specifications
* **Area:** Happy Garden, Kuala Lumpur [KB:FLoeORqN8HJxdp9hsavY]
* **Developer:** Pembangunan Jujur Sejiwa Sdn. Bhd. [KB:FLoeORqN8HJxdp9hsavY]
* **Land Title:** Not on record
* **Maintenance Fee:** Not on record
* **Tenure:** Freehold [KB:FLoeORqN8HJxdp9hsavY]
* **Total Units:** 63 units [KB:60W88Jqsa5J2bn6rqTgO] [KB:FLoeORqN8HJxdp9hsavY]
* **Total Floors:** 3 storeys [KB:60W88Jqsa5J2bn6rqTgO] [KB:FLoeORqN8HJxdp9hsavY]
* **Completion / VP Date:** Target Completion Q3 2026 [KB:FLoeORqN8HJxdp9hsavY]
* **Furnishing:** Not on record (includes aircon piping points and electric storage water heaters [KB:60W88Jqsa5J2bn6rqTgO])
* **Car Park Allocation:** 4 parking lots per unit (some initial sales briefs state 2 carparks [KB:FLoeORqN8HJxdp9hsavY])
--- 
### Top Reasons to Buy
* **High Ceilings:** 10 ft ceiling height on Ground and 1st Floor, 9 ft on 2nd Floor [KB:60W88Jqsa5J2bn6rqTgO].
* **Spacious Layout:** 3 master suites, with all bedrooms equipped with en-suite bathrooms [KB:60W88Jqsa5J2bn6rqTgO].
* **Enhanced M&amp;E Specs:** Includes EV charger isolator, isolator for future courtyard lift installation, and upgraded 1,000-gallon domestic water tank [KB:60W88Jqsa5J2bn6rqTgO].
* **Gated &amp; Guarded Privacy:** Low-density 63-unit community with parcel boxes and roof deck area [KB:60W88Jqsa5J2bn6rqTgO].
* **Prime Location:** Walking distance to SJKC La Salle and 5 minutes to Kuchai Lama &amp; Sri Petaling commercial hubs.</t>
        </is>
      </c>
    </row>
    <row r="84" ht="60" customHeight="1">
      <c r="A84" s="19" t="inlineStr">
        <is>
          <t>P77</t>
        </is>
      </c>
      <c r="B84" s="20" t="inlineStr">
        <is>
          <t>E&amp;O – City of Elmina (Laman Embun Commercial)</t>
        </is>
      </c>
      <c r="C84" s="19" t="n">
        <v>32</v>
      </c>
      <c r="D84" s="20" t="inlineStr">
        <is>
          <t>chat-980cf553-4c36-4ffb-9e37-2bd6ab095364</t>
        </is>
      </c>
      <c r="E84" s="24" t="inlineStr">
        <is>
          <t>Here are the details for **E&amp;O – City of Elmina (Laman Embun Commercial)** (Project ID: `Dqv8WfbY7tRC9plczVtZ`):
### Project Specifications
- **Area:** City of Elmina, Shah Alam, Selangor (along Persiaran Dillenia, next to 2,700-acre forest reserve) [KB:yY7RDRIHI4QxSjWHga5p]
- **Developer:** Eastern &amp; Oriental (E&amp;O) [KB:yY7RDRIHI4QxSjWHga5p]
- **Land Title:** Commercial [KB:yY7RDRIHI4QxSjWHga5p]
- **Tenure:** Freehold [KB:yY7RDRIHI4QxSjWHga5p]
- **Total Units:** 50 units (Phase 1); 110 total units across Phase 1 &amp; 2 [KB:yY7RDRIHI4QxSjWHga5p]
- **Total Floors:** 2 to 3 storeys [KB:5CCXsFoMutHpSPNo0FaX] [KB:NFVlEHeNJKfZVqh6EBCf]
- **Completion / Vacant Possession Date:** Not on record [KB:yY7RDRIHI4QxSjWHga5p]
- **Maintenance Fee:** Not on record
- **Furnishing:** Not on record
- **Car Park Allocation:** Approximately 1,000 parking bays surrounding the precinct [KB:5CCXsFoMutHpSPNo0FaX]
### Layouts &amp; Pricing
- **Per-Layout Table:** Not on record (the structured layout table is empty on record; per-layout nett price, gross price, and layout sold-out status are not on record).
- **Bedrooms:** 0 (Commercial shop-office units) [KB:yY7RDRIHI4QxSjWHga5p]
- **Built-Up Sizes:** 3,256 sq.ft. to 10,883 sq.ft. [KB:NFVlEHeNJKfZVqh6EBCf]
- **Price:** From RM2,300,000
### Top Reasons to Buy
- Prime commercial frontage along Persiaran Dillenia with high vehicular visibility and 2 dedicated entrances [KB:5CCXsFoMutHpSPNo0FaX].
- Includes 6 rare corner units featuring private lifts at no extra cost.
- Positioned next to a 2,700-acre forest reserve and close to Elmina Lakeside Mall [KB:5CCXsFoMutHpSPNo0FaX].
- Captive, affluent catchment population within the Seri Embun residential enclave and broader Elmina township [KB:GJD4dzbXefNjY6tqNf15].</t>
        </is>
      </c>
    </row>
    <row r="85" ht="60" customHeight="1">
      <c r="A85" s="19" t="inlineStr">
        <is>
          <t>P78</t>
        </is>
      </c>
      <c r="B85" s="20" t="inlineStr">
        <is>
          <t>Aspire office @ KL ecocity</t>
        </is>
      </c>
      <c r="C85" s="19" t="n">
        <v>29.9</v>
      </c>
      <c r="D85" s="20" t="inlineStr">
        <is>
          <t>chat-097c1fa2-8f77-4e76-98d6-511ce12256a7</t>
        </is>
      </c>
      <c r="E85" s="24" t="inlineStr">
        <is>
          <t>Here are the details on record for **Aspire Tower (Mercu Aspire) @ KL Eco City** (Project ID: `UyAt3rBJpmkv1GXZg73E`):
### **Unit Layouts &amp; Pricing**
- **Executive Offices (Level 3A–9)**: 1,152 – 1,971 sq ft [KB:PE2YftVpHiB4sJvPqZmm]
- **Signature Offices (Level 10–22)**: 3,623 – 16,393 sq ft (sold in bundles of 3 units) [KB:PE2YftVpHiB4sJvPqZmm]
- **Premier Offices (Level 23–39A)**: 18,690 sq ft (full floor) [KB:PE2YftVpHiB4sJvPqZmm]
- **Bedrooms**: 0 / Not applicable (Commercial Office Tower).
- **Per-Layout Unit Table &amp; Specific Unit Availability**: Not on record. (Gross asking price is from RM1,475 psf; Nett price starts from ~RM1,180 psf after 13% to 21.5% total rebates). *Example unit on record: Unit 07-12 (1,625 sq ft) — Gross SPA Price RM2,404,000 | Nett Price RM1,935,220 [KB:GJkPxas8QGmfcf68tFgo].*
---
### **Project Specifications &amp; Information**
- **Area / Location**: KL Eco City, Bangsar / Mid Valley fringe CBD [KB:PE2YftVpHiB4sJvPqZmm]
- **Developer**: S P Setia Berhad [KB:PE2YftVpHiB4sJvPqZmm]
- **Land Title**: Commercial Strata Title (Leasehold)
- **Maintenance Fee**: RM0.65 psf
- **Tenure**: Leasehold [KB:PE2YftVpHiB4sJvPqZmm]
- **Total Units**: Not on record (~670,000 sq ft total built-up across the tower) [KB:PE2YftVpHiB4sJvPqZmm]
- **Total Floors**: 42 storeys [KB:PE2YftVpHiB4sJvPqZmm]
- **Completion / Vacant Possession Date**: Q4 2023 (VP completed) [KB:PE2YftVpHiB4sJvPqZmm]
- **Furnishing**: Bare condition
- **Car Park Allocation**: Allocated for bundled Signature and Premier units [KB:DFH7DJEV7xAiHOZffpPH] *(exact ratio per unit size is not on record)*
---
### **Top Reasons to Buy** [KB:EJEM4gKXY1XqMOEq9J9g]
1. **Integrated Hub Connectivity**: Direct covered link bridge to Mid Valley Megamall, The Gardens Mall, and seamless connection to Abdullah Hukum LRT &amp; KTM stations.
2. **Grade A &amp; Tech Specifications**: LEED Gold (Core &amp; Shell) certification and MSC Cybercentre status.
3. **Strong Demand &amp; ROI**: High occupancy rate (&gt;85% in KL Eco City) with attractive rental yields (~RM6.50 – RM8.00 psf market rental rate).
4. **Attractive Pricing**: ~30% below KLCC office prices with up to 21.5% rebates/incentives.</t>
        </is>
      </c>
    </row>
    <row r="86" ht="60" customHeight="1">
      <c r="A86" s="19" t="inlineStr">
        <is>
          <t>P79</t>
        </is>
      </c>
      <c r="B86" s="20" t="inlineStr">
        <is>
          <t>The MET, Corporate Tower</t>
        </is>
      </c>
      <c r="C86" s="19" t="n">
        <v>35.9</v>
      </c>
      <c r="D86" s="20" t="inlineStr">
        <is>
          <t>chat-9efc083f-de6d-40db-ac4a-36b5d83ab371</t>
        </is>
      </c>
      <c r="E86" s="24" t="inlineStr">
        <is>
          <t>### The MET, Corporate Tower — Project Details
**Basic Overview**
- **Area:** KL Metropolis, Dutamas / Mont Kiara [KB:B4YOymtiSEJuUhzy8fFB]
- **Developer:** Triterra (Chairman: Datuk Seri Michael Yam) / Triterra Metropolis Sdn Bhd [KB:B4YOymtiSEJuUhzy8fFB]
- **Land Title:** Strata Title [KB:B4YOymtiSEJuUhzy8fFB]
- **Tenure:** Freehold [KB:B4YOymtiSEJuUhzy8fFB]
- **Total Units:** 488 Units across Block A and Block B (Block B sold to CIDB) [KB:B4YOymtiSEJuUhzy8fFB]
- **Total Floors:** Block A (42 storeys) &amp; Block B (30 storeys) [KB:B4YOymtiSEJuUhzy8fFB]
- **Completion / VP Date:** Q2 2023 (VP completed) [KB:B4YOymtiSEJuUhzy8fFB]
- **Maintenance Fee:** Not on record
- **Furnishing:** Not on record (units delivered with toilet &amp; pantry points ready)
- **Car Park Allocation:** Not on record per individual unit (Total development features 1,208 car park bays and 300 motorcycle bays across Levels 1–8)
**Layouts, Pricing &amp; Availability**
- **Per-Layout Table (Nett/Gross Price &amp; Sold-Out Status):** A structured per-layout unit table is **not on record**.
- **Pricing Rate:** Indicative sale prices range from RM1,200 to RM1,300 psf.
- **Layout Tier Specifications:**
  - **Executive Levels (Levels 10–25):** 12 Layouts, sizes ranging from 818 sq ft to 2,584 sq ft
  - **Premier Levels (Levels 26–31):** 4 Layouts, sizes ranging from 3,606 sq ft to 4,231 sq ft
  - **Prestige Levels (Levels 32–39):** 16,104 sq ft to 18,000 sq ft (Full floor plates)
- **Sample Unit List Prices:** [KB:4l3Ly8DoU5MQ63cVOmnR]
  - Unit A-22-05 (840 sq ft): RM1,125,000 (Gross List Price)
  - Unit A-25-09 (915 sq ft): RM1,293,000 (Gross List Price)
  - Unit A-19-10 (1,152 sq ft): RM1,609,000 (Gross List Price)
  - Unit A-23A-10 (1,152 sq ft): RM1,625,000 (Gross List Price)
  *(Note: A 5% developer rebate applies; nett prices depend on applicable sales package) [KB:4l3Ly8DoU5MQ63cVOmnR].*
**Top Reasons to Buy**
1. **First Grade A Office in Mont Kiara:** Prestigious commercial landmark developed by Triterra in KL Metropolis [KB:3LjKhrdGf3Jf2uX8EsYV].
2. **GBI-Certified Green Building:** Equipped with double-layer Low-E glass, Rainwater Harvesting System, and EV charging stations.
3. **Premium Business Facilities:** Features a 10m triple-volume grand lobby, business auditorium (75 pax), glass box function hall (200–300 pax), 5 meeting rooms, and gymnasium.
4. **Attractive Rental &amp; Capital Potential:** Expected rental yield of 4.5% – 6% with high capital appreciation upside [KB:4l3Ly8DoU5MQ63cVOmnR].
5. **Prime Connectivity:** Convenient access via Go KL bus services, KTM Segambut, MATRADE, and upcoming MRT3 station [KB:4l3Ly8DoU5MQ63cVOmnR].</t>
        </is>
      </c>
    </row>
    <row r="87" ht="60" customHeight="1">
      <c r="A87" s="19" t="inlineStr">
        <is>
          <t>P80</t>
        </is>
      </c>
      <c r="B87" s="20" t="inlineStr">
        <is>
          <t>Sierra Hijau (Landed)</t>
        </is>
      </c>
      <c r="C87" s="19" t="n">
        <v>27.7</v>
      </c>
      <c r="D87" s="20" t="inlineStr">
        <is>
          <t>chat-5e05c37f-15df-442e-8f42-7c22081f08b7</t>
        </is>
      </c>
      <c r="E87" s="24" t="inlineStr">
        <is>
          <t>Here are the details on record for **Sierra Hijau (Landed)** (Project ID: `at9ch36p3DlkFc0oydiE`):
### Layout Details
*Note: Structured per-unit layout records (`unitTypes`) are not on record. The following phase and layout dimensions are based on project facts [KB:HD78nOe5vpZYqHT69a8i].*
* **Phase Status &amp; Availability:**
  * **Phase 2B (Semi-D):** Completed (Sold out) [KB:HD78nOe5vpZYqHT69a8i]
  * **Phase 2C (50 units):** Sold out [KB:HD78nOe5vpZYqHT69a8i]
  * **Phase 2D (80 units):** Sold out [KB:HD78nOe5vpZYqHT69a8i]
  * **Phase 2E (24 Semi-D + 1 Bungalow) &amp; Phase 2H (60 Linked Houses):** Ongoing / Available [KB:HD78nOe5vpZYqHT69a8i]
* **Linked Villas / Linked Houses:**
  * **Layout 1 (24 x 60 ft land size):** Bedrooms: Not on record | Indicative Price: around RM1.3mil [KB:HD78nOe5vpZYqHT69a8i] | Nett vs Gross price split: Not on record | Sqft built-up: Not on record
  * **Layout 2 (22 x 72.5 ft land size):** Bedrooms: Not on record | Indicative Price: around RM1.3mil [KB:HD78nOe5vpZYqHT69a8i] | Nett vs Gross price split: Not on record | Sqft built-up: Not on record
  * **Layout 3 (22 x 75 ft land size):** Bedrooms: Not on record | Indicative Price: around RM1.3mil [KB:HD78nOe5vpZYqHT69a8i] | Nett vs Gross price split: Not on record | Sqft built-up: Not on record
* **Semi-Detached:**
  * **40 x 80 ft land size:** Bedrooms: Not on record | Indicative Price: around RM2.2mil to RM2.3mil++ [KB:HD78nOe5vpZYqHT69a8i], [KB:h9CjQZraT6X6kSyKPKU1] | Nett vs Gross price split: Not on record | Sqft built-up: Not on record
---
### Project Specifications
* **Area:** Sierra Ukay, Ukay Perdana, Ampang, Selangor (next to forest reserve) [KB:mYNS6rnwTpiUMoNBSikk], [KB:HD78nOe5vpZYqHT69a8i]
* **Developer:** Sierra Ukay Sdn Bhd (subsidiary of IJM Berhad) [KB:mYNS6rnwTpiUMoNBSikk], [KB:HD78nOe5vpZYqHT69a8i]
* **Land Title:** Residential [KB:HD78nOe5vpZYqHT69a8i]
* **Maintenance Fee:** TBC (Previous phase was RM0.20 psf x land area) [KB:mYNS6rnwTpiUMoNBSikk], [KB:HD78nOe5vpZYqHT69a8i]
* **Tenure:** Leasehold expiring year 2114 [KB:mYNS6rnwTpiUMoNBSikk], [KB:HD78nOe5vpZYqHT69a8i]
* **Total Units:** 310 landed units across 32.77 acres [KB:HD78nOe5vpZYqHT69a8i]
* **Total Floors:** Not on record
* **Completion / Vacant Possession Date:** Target Completion for Phase 2E, 2F, 2G, 2H is end of 2025 [KB:HD78nOe5vpZYqHT69a8i], [KB:h9CjQZraT6X6kSyKPKU1]
* **Top Reasons to Buy:** Not explicitly on record as sales bullet points (Key features include a 32.77-acre gated &amp; guarded enclave adjacent to a forest reserve with clubhouse facilities) [KB:HD78nOe5vpZYqHT69a8i]
* **Furnishing:** Basic bare unit with lighting and aircond points provided [KB:HD78nOe5vpZYqHT69a8i]
* **Car Park Allocation:** Not on record</t>
        </is>
      </c>
    </row>
    <row r="88" ht="60" customHeight="1">
      <c r="A88" s="19" t="inlineStr">
        <is>
          <t>P81</t>
        </is>
      </c>
      <c r="B88" s="20" t="inlineStr">
        <is>
          <t>Melbourne Square</t>
        </is>
      </c>
      <c r="C88" s="19" t="n">
        <v>28</v>
      </c>
      <c r="D88" s="20" t="inlineStr">
        <is>
          <t>chat-64aa7073-a171-4fa5-8c09-095ebfd5703b</t>
        </is>
      </c>
      <c r="E88" s="24" t="inlineStr">
        <is>
          <t>### Melbourne Square (AURA @ MSQ) — Project Details
**Overview &amp; General Information**
- **Area**: Southbank, Melbourne, Australia [KB:TaMVFWNHEwt6u2aaudBx]
- **Developer**: OSK Property (JV with EPF) [KB:TaMVFWNHEwt6u2aaudBx]
- **Land Title**: Not on record
- **Tenure**: Not on record
- **Total Units**: 673 units [KB:TaMVFWNHEwt6u2aaudBx]
- **Total Floors / Levels**: 67 Levels [KB:TaMVFWNHEwt6u2aaudBx]
- **Completion / Vacant Possession Date**: Not on record
- **Maintenance Fee**: Not on record
- **Furnishing**: Not on record
- **Top Reasons to Buy**: Not on record
**Layout Breakdown &amp; Pricing**
The full per-layout pricing table (exact size in sqft, nett price, gross price, and layout sold-out status) is **not on record**.
The summary unit mix on record is:
- **Studio &amp; 1 Bed, 1 Bath**: 87 units (13%) — *size, nett price, gross price, sold out status: Not on record*
- **1 Bed, 1 Bath + MPR**: 227 units (34%) — *size, nett price, gross price, sold out status: Not on record*
- **2 Bed, 2 Bath**: 277 units (41%) — *size, nett price, gross price, sold out status: Not on record*
- **3 Bed, 2–3 Bath**: 78 units (11%) — *size, nett price, gross price, sold out status: Not on record*
- **Penthouse**: 4 units (1%) — *size, nett price, gross price, sold out status: Not on record*
**Car Park Allocation**
- **3 Bed units**: 1 car park bay
- **Other layouts**: Not on record
For updated unit availability, nett/gross pricing, or further sales package details, please contact D2 sales admin directly.</t>
        </is>
      </c>
    </row>
    <row r="89" ht="60" customHeight="1">
      <c r="A89" s="19" t="inlineStr">
        <is>
          <t>P82</t>
        </is>
      </c>
      <c r="B89" s="20" t="inlineStr">
        <is>
          <t>Lagenda Tunku (Villa Gemilang)</t>
        </is>
      </c>
      <c r="C89" s="19" t="n">
        <v>37.9</v>
      </c>
      <c r="D89" s="20" t="inlineStr">
        <is>
          <t>chat-96e34850-519b-4668-9a77-4a9b92775a21</t>
        </is>
      </c>
      <c r="E89" s="24" t="inlineStr">
        <is>
          <t>Lagenda Tunku (Villa Gemilang) is not on record in D2's active project inventory. Consequently, all requested details—including layouts (sizes, bedrooms, nett/gross prices, sold-out status), area, developer, land title, maintenance fee, tenure, total units, total floors, completion/vacant possession date, top reasons to buy, furnishing, and car park allocation—are not on record. Please check directly with D2 sales admin for information regarding this project.</t>
        </is>
      </c>
    </row>
    <row r="90" ht="60" customHeight="1">
      <c r="A90" s="19" t="inlineStr">
        <is>
          <t>P83</t>
        </is>
      </c>
      <c r="B90" s="20" t="inlineStr">
        <is>
          <t>Ashbourne</t>
        </is>
      </c>
      <c r="C90" s="19" t="n">
        <v>19.8</v>
      </c>
      <c r="D90" s="20" t="inlineStr">
        <is>
          <t>chat-b3057c37-33a1-442a-885e-5c3eb59a9682</t>
        </is>
      </c>
      <c r="E90" s="24" t="inlineStr">
        <is>
          <t>Ashbourne is not found in the D2 active project inventory. Layout sizes, pricing, developer, land title, maintenance fee, tenure, total units/floors, completion date, and other project details are not on record in the system. Please verify directly with D2 sales admin.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2026-10-27T10:07:59Z</dcterms:created>
  <dcterms:modified xmlns:dcterms="http://purl.org/dc/terms/" xmlns:xsi="http://www.w3.org/2001/XMLSchema-instance" xsi:type="dcterms:W3CDTF">2026-10-27T15:38:00Z</dcterms:modified>
</cp:coreProperties>
</file>