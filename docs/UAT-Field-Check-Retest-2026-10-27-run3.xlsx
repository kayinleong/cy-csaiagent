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eld Check (run 3)" sheetId="2" state="visible" r:id="rId2"/>
    <sheet xmlns:r="http://schemas.openxmlformats.org/officeDocument/2006/relationships" name="Run 2 vs Run 3" sheetId="3" state="visible" r:id="rId3"/>
    <sheet xmlns:r="http://schemas.openxmlformats.org/officeDocument/2006/relationships" name="Search Cases" sheetId="4" state="visible" r:id="rId4"/>
    <sheet xmlns:r="http://schemas.openxmlformats.org/officeDocument/2006/relationships" name="Findings" sheetId="5" state="visible" r:id="rId5"/>
    <sheet xmlns:r="http://schemas.openxmlformats.org/officeDocument/2006/relationships" name="Answer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i val="1"/>
    </font>
    <font>
      <name val="Arial"/>
      <b val="1"/>
      <color rgb="00FFFFFF"/>
    </font>
    <font>
      <name val="Arial"/>
    </font>
    <font>
      <name val="Arial"/>
      <b val="1"/>
      <sz val="13"/>
    </font>
    <font>
      <name val="Arial"/>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20" customWidth="1" min="2" max="2"/>
  </cols>
  <sheetData>
    <row r="1">
      <c r="A1" s="1" t="inlineStr">
        <is>
          <t>D2 Finder: client Excel field check, run 3 (after quick-kayinleong-101)</t>
        </is>
      </c>
      <c r="B1" s="2" t="n"/>
    </row>
    <row r="2">
      <c r="A2" s="3" t="n"/>
      <c r="B2" s="2" t="n"/>
    </row>
    <row r="3">
      <c r="A3" s="3" t="inlineStr">
        <is>
          <t>Date</t>
        </is>
      </c>
      <c r="B3" s="2" t="inlineStr">
        <is>
          <t>27 Oct 2026</t>
        </is>
      </c>
    </row>
    <row r="4">
      <c r="A4" s="3" t="inlineStr">
        <is>
          <t>Oracle</t>
        </is>
      </c>
      <c r="B4" s="2" t="inlineStr">
        <is>
          <t>_D2 Project Info.xlsx (sha256 8b7c1c9a…), as normalised by the import (81 mapped projects + the 3 added in this claim)</t>
        </is>
      </c>
    </row>
    <row r="5">
      <c r="A5" s="3" t="inlineStr">
        <is>
          <t>How it was run</t>
        </is>
      </c>
      <c r="B5" s="2" t="inlineStr">
        <is>
          <t>Script-driven: the real Finder agent (same system prompt, tools, 12-step budget, 32k output, PDPA scrubbing as /api/chat), no browser and no sign-in. Model gemini-3.5-flash via the dev-only LOCAL_MODEL_OVERRIDE, as runs 1-2.</t>
        </is>
      </c>
    </row>
    <row r="6">
      <c r="A6" s="3" t="inlineStr">
        <is>
          <t>Code under test</t>
        </is>
      </c>
      <c r="B6" s="2" t="inlineStr">
        <is>
          <t>branch quick-kayinleong-101: projectDetail always attaches the project's own client fact sheet; the sheet is the authority</t>
        </is>
      </c>
    </row>
    <row r="7">
      <c r="A7" s="3" t="inlineStr">
        <is>
          <t>Data under test</t>
        </is>
      </c>
      <c r="B7" s="2" t="inlineStr">
        <is>
          <t>live Firestore after the 3 new projects (Binastra Cochrane, Lagenda Tunku, Ashbourne) and their fact sheets were added</t>
        </is>
      </c>
    </row>
    <row r="8">
      <c r="A8" s="3" t="inlineStr">
        <is>
          <t>Prompt per property</t>
        </is>
      </c>
      <c r="B8" s="2" t="inlineStr">
        <is>
          <t>Full details for &lt;project&gt;: for every layout give the size, bedrooms, nett price and gross price (say sold out where it is). Also give the area, developer, land title, maintenance fee, tenure, total units, total floors, completion or vacant possession date, top reasons to buy, furnishing and car park allocation. Say "not on record" for anything you do not have.</t>
        </is>
      </c>
    </row>
    <row r="9">
      <c r="A9" s="3" t="n"/>
      <c r="B9" s="2" t="n"/>
    </row>
    <row r="10">
      <c r="A10" s="3" t="inlineStr">
        <is>
          <t>Properties tested</t>
        </is>
      </c>
      <c r="B10" s="2">
        <f>COUNTA('Field Check (run 3)'!B5:B87)</f>
        <v/>
      </c>
    </row>
    <row r="11">
      <c r="A11" s="3" t="inlineStr">
        <is>
          <t>Overall Pass</t>
        </is>
      </c>
      <c r="B11" s="2">
        <f>COUNTIF('Field Check (run 3)'!C5:C87,"Pass")</f>
        <v/>
      </c>
    </row>
    <row r="12">
      <c r="A12" s="3" t="inlineStr">
        <is>
          <t>Overall Partial</t>
        </is>
      </c>
      <c r="B12" s="2">
        <f>COUNTIF('Field Check (run 3)'!C5:C87,"Partial")</f>
        <v/>
      </c>
    </row>
    <row r="13">
      <c r="A13" s="3" t="inlineStr">
        <is>
          <t>Overall Check (a value differs)</t>
        </is>
      </c>
      <c r="B13" s="2">
        <f>COUNTIF('Field Check (run 3)'!C5:C87,"Check")</f>
        <v/>
      </c>
    </row>
    <row r="14">
      <c r="A14" s="3" t="inlineStr">
        <is>
          <t>Field cells PASS</t>
        </is>
      </c>
      <c r="B14" s="2">
        <f>COUNTIF('Field Check (run 3)'!D5:R87,"PASS")</f>
        <v/>
      </c>
    </row>
    <row r="15">
      <c r="A15" s="3" t="inlineStr">
        <is>
          <t>Field cells PARTIAL</t>
        </is>
      </c>
      <c r="B15" s="2">
        <f>COUNTIF('Field Check (run 3)'!D5:R87,"PARTIAL")</f>
        <v/>
      </c>
    </row>
    <row r="16">
      <c r="A16" s="3" t="inlineStr">
        <is>
          <t>Field cells NOT STATED</t>
        </is>
      </c>
      <c r="B16" s="2">
        <f>COUNTIF('Field Check (run 3)'!D5:R87,"NOT STATED")</f>
        <v/>
      </c>
    </row>
    <row r="17">
      <c r="A17" s="3" t="inlineStr">
        <is>
          <t>Field cells DIFFERS</t>
        </is>
      </c>
      <c r="B17" s="2">
        <f>COUNTIF('Field Check (run 3)'!D5:R87,"DIFFERS")</f>
        <v/>
      </c>
    </row>
    <row r="18">
      <c r="A18" s="3" t="inlineStr">
        <is>
          <t>Field cells HELD</t>
        </is>
      </c>
      <c r="B18" s="2">
        <f>COUNTIF('Field Check (run 3)'!D5:R87,"HELD")</f>
        <v/>
      </c>
    </row>
    <row r="19">
      <c r="A19" s="3" t="inlineStr">
        <is>
          <t>Fact sheet attached</t>
        </is>
      </c>
      <c r="B19" s="2">
        <f>COUNTIF('Field Check (run 3)'!S5:S87,"Yes")</f>
        <v/>
      </c>
    </row>
    <row r="20">
      <c r="A20" s="3" t="inlineStr">
        <is>
          <t>Search cases Pass</t>
        </is>
      </c>
      <c r="B20" s="2">
        <f>COUNTIF('Search Cases'!C2:C7,"Pass")</f>
        <v/>
      </c>
    </row>
    <row r="21">
      <c r="A21" s="3" t="n"/>
      <c r="B21" s="2" t="n"/>
    </row>
    <row r="22">
      <c r="A22" s="3" t="inlineStr">
        <is>
          <t>Still in the Excel</t>
        </is>
      </c>
      <c r="B22" s="2" t="inlineStr">
        <is>
          <t>The Developer column is shifted in rows 91-93 and 114-125 (each cell holds a neighbouring project's developer). Answers now state the Excel's value, so those rows PASS here while still being wrong in the real world.</t>
        </is>
      </c>
    </row>
    <row r="23">
      <c r="A23" s="3" t="inlineStr">
        <is>
          <t>Held back</t>
        </is>
      </c>
      <c r="B23" s="2" t="inlineStr">
        <is>
          <t>23 values the import held back pending the client's confirmation (HELD-BACK.md) are shown as HELD, not scored.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4" customWidth="1" min="20" max="20"/>
    <col width="90" customWidth="1" min="21" max="21"/>
  </cols>
  <sheetData>
    <row r="1">
      <c r="A1" s="4" t="inlineStr">
        <is>
          <t>Client Sheet Field Check, RUN 3 (27 Oct 2026): every property's answer scored against the client Excel (_D2 Project Info.xlsx)</t>
        </is>
      </c>
    </row>
    <row r="2">
      <c r="A2" s="5" t="inlineStr">
        <is>
          <t>PASS = matches the Excel · PARTIAL = some layouts match, some missing · NOT STATED = the Excel has a value, the answer does not give it · DIFFERS = the answer gives a different value · HELD = held back from the import pending the client's confirmation · — = the Excel has no value</t>
        </is>
      </c>
    </row>
    <row r="4">
      <c r="A4" s="6" t="inlineStr">
        <is>
          <t>#</t>
        </is>
      </c>
      <c r="B4" s="6" t="inlineStr">
        <is>
          <t>Project (Excel name)</t>
        </is>
      </c>
      <c r="C4" s="6" t="inlineStr">
        <is>
          <t>Overall</t>
        </is>
      </c>
      <c r="D4" s="6" t="inlineStr">
        <is>
          <t>Size</t>
        </is>
      </c>
      <c r="E4" s="6" t="inlineStr">
        <is>
          <t>Rooms</t>
        </is>
      </c>
      <c r="F4" s="6" t="inlineStr">
        <is>
          <t>Nett Price</t>
        </is>
      </c>
      <c r="G4" s="6" t="inlineStr">
        <is>
          <t>Gross Price</t>
        </is>
      </c>
      <c r="H4" s="6" t="inlineStr">
        <is>
          <t>Area</t>
        </is>
      </c>
      <c r="I4" s="6" t="inlineStr">
        <is>
          <t>Developer</t>
        </is>
      </c>
      <c r="J4" s="6" t="inlineStr">
        <is>
          <t>Land Title</t>
        </is>
      </c>
      <c r="K4" s="6" t="inlineStr">
        <is>
          <t>Maintenance Fee</t>
        </is>
      </c>
      <c r="L4" s="6" t="inlineStr">
        <is>
          <t>Tenure</t>
        </is>
      </c>
      <c r="M4" s="6" t="inlineStr">
        <is>
          <t>Total Units</t>
        </is>
      </c>
      <c r="N4" s="6" t="inlineStr">
        <is>
          <t>Total Floors</t>
        </is>
      </c>
      <c r="O4" s="6" t="inlineStr">
        <is>
          <t>Completion / VP</t>
        </is>
      </c>
      <c r="P4" s="6" t="inlineStr">
        <is>
          <t>Top Reasons Why</t>
        </is>
      </c>
      <c r="Q4" s="6" t="inlineStr">
        <is>
          <t>Furnishing</t>
        </is>
      </c>
      <c r="R4" s="6" t="inlineStr">
        <is>
          <t>Car Park Allocation</t>
        </is>
      </c>
      <c r="S4" s="6" t="inlineStr">
        <is>
          <t>Fact sheet attached</t>
        </is>
      </c>
      <c r="T4" s="6" t="inlineStr">
        <is>
          <t>Run 2 overall (client table)</t>
        </is>
      </c>
      <c r="U4" s="6" t="inlineStr">
        <is>
          <t>Notes</t>
        </is>
      </c>
    </row>
    <row r="5">
      <c r="A5" s="2" t="n">
        <v>1</v>
      </c>
      <c r="B5" s="2" t="inlineStr">
        <is>
          <t>Damansara City Residency (DC Residensi)</t>
        </is>
      </c>
      <c r="C5" s="2" t="inlineStr">
        <is>
          <t>Pass</t>
        </is>
      </c>
      <c r="D5" s="2" t="inlineStr">
        <is>
          <t>PASS</t>
        </is>
      </c>
      <c r="E5" s="2" t="inlineStr">
        <is>
          <t>PASS</t>
        </is>
      </c>
      <c r="F5" s="2" t="inlineStr">
        <is>
          <t>PASS</t>
        </is>
      </c>
      <c r="G5" s="2" t="inlineStr">
        <is>
          <t>PASS</t>
        </is>
      </c>
      <c r="H5" s="2" t="inlineStr">
        <is>
          <t>PASS</t>
        </is>
      </c>
      <c r="I5" s="2" t="inlineStr">
        <is>
          <t>PASS</t>
        </is>
      </c>
      <c r="J5" s="2" t="inlineStr">
        <is>
          <t>PASS</t>
        </is>
      </c>
      <c r="K5" s="2" t="inlineStr">
        <is>
          <t>PASS</t>
        </is>
      </c>
      <c r="L5" s="2" t="inlineStr">
        <is>
          <t>PASS</t>
        </is>
      </c>
      <c r="M5" s="2" t="inlineStr">
        <is>
          <t>PASS</t>
        </is>
      </c>
      <c r="N5" s="2" t="inlineStr">
        <is>
          <t>PASS</t>
        </is>
      </c>
      <c r="O5" s="2" t="inlineStr">
        <is>
          <t>PASS</t>
        </is>
      </c>
      <c r="P5" s="2" t="inlineStr">
        <is>
          <t>—</t>
        </is>
      </c>
      <c r="Q5" s="2" t="inlineStr">
        <is>
          <t>—</t>
        </is>
      </c>
      <c r="R5" s="2" t="inlineStr">
        <is>
          <t>—</t>
        </is>
      </c>
      <c r="S5" s="2" t="inlineStr">
        <is>
          <t>Yes</t>
        </is>
      </c>
      <c r="T5" s="2" t="inlineStr">
        <is>
          <t>Partial</t>
        </is>
      </c>
      <c r="U5" s="2" t="inlineStr"/>
    </row>
    <row r="6">
      <c r="A6" s="2" t="n">
        <v>2</v>
      </c>
      <c r="B6" s="2" t="inlineStr">
        <is>
          <t>PDH: Imperial Residences RA</t>
        </is>
      </c>
      <c r="C6" s="2" t="inlineStr">
        <is>
          <t>Pass</t>
        </is>
      </c>
      <c r="D6" s="2" t="inlineStr">
        <is>
          <t>PASS</t>
        </is>
      </c>
      <c r="E6" s="2" t="inlineStr">
        <is>
          <t>PASS</t>
        </is>
      </c>
      <c r="F6" s="2" t="inlineStr">
        <is>
          <t>PASS</t>
        </is>
      </c>
      <c r="G6" s="2" t="inlineStr">
        <is>
          <t>PASS</t>
        </is>
      </c>
      <c r="H6" s="2" t="inlineStr">
        <is>
          <t>PASS</t>
        </is>
      </c>
      <c r="I6" s="2" t="inlineStr">
        <is>
          <t>—</t>
        </is>
      </c>
      <c r="J6" s="2" t="inlineStr">
        <is>
          <t>PASS</t>
        </is>
      </c>
      <c r="K6" s="2" t="inlineStr">
        <is>
          <t>PASS</t>
        </is>
      </c>
      <c r="L6" s="2" t="inlineStr">
        <is>
          <t>—</t>
        </is>
      </c>
      <c r="M6" s="2" t="inlineStr">
        <is>
          <t>—</t>
        </is>
      </c>
      <c r="N6" s="2" t="inlineStr">
        <is>
          <t>—</t>
        </is>
      </c>
      <c r="O6" s="2" t="inlineStr">
        <is>
          <t>PASS</t>
        </is>
      </c>
      <c r="P6" s="2" t="inlineStr">
        <is>
          <t>—</t>
        </is>
      </c>
      <c r="Q6" s="2" t="inlineStr">
        <is>
          <t>—</t>
        </is>
      </c>
      <c r="R6" s="2" t="inlineStr">
        <is>
          <t>—</t>
        </is>
      </c>
      <c r="S6" s="2" t="inlineStr">
        <is>
          <t>Yes</t>
        </is>
      </c>
      <c r="T6" s="2" t="inlineStr">
        <is>
          <t>Pass</t>
        </is>
      </c>
      <c r="U6" s="2" t="inlineStr"/>
    </row>
    <row r="7">
      <c r="A7" s="2" t="n">
        <v>3</v>
      </c>
      <c r="B7" s="2" t="inlineStr">
        <is>
          <t>Bangsar Hill Park</t>
        </is>
      </c>
      <c r="C7" s="2" t="inlineStr">
        <is>
          <t>Pass</t>
        </is>
      </c>
      <c r="D7" s="2" t="inlineStr">
        <is>
          <t>—</t>
        </is>
      </c>
      <c r="E7" s="2" t="inlineStr">
        <is>
          <t>—</t>
        </is>
      </c>
      <c r="F7" s="2" t="inlineStr">
        <is>
          <t>—</t>
        </is>
      </c>
      <c r="G7" s="2" t="inlineStr">
        <is>
          <t>—</t>
        </is>
      </c>
      <c r="H7" s="2" t="inlineStr">
        <is>
          <t>PASS</t>
        </is>
      </c>
      <c r="I7" s="2" t="inlineStr">
        <is>
          <t>PASS</t>
        </is>
      </c>
      <c r="J7" s="2" t="inlineStr">
        <is>
          <t>PASS</t>
        </is>
      </c>
      <c r="K7" s="2" t="inlineStr">
        <is>
          <t>PASS</t>
        </is>
      </c>
      <c r="L7" s="2" t="inlineStr">
        <is>
          <t>—</t>
        </is>
      </c>
      <c r="M7" s="2" t="inlineStr">
        <is>
          <t>PASS</t>
        </is>
      </c>
      <c r="N7" s="2" t="inlineStr">
        <is>
          <t>PASS</t>
        </is>
      </c>
      <c r="O7" s="2" t="inlineStr">
        <is>
          <t>PASS</t>
        </is>
      </c>
      <c r="P7" s="2" t="inlineStr">
        <is>
          <t>HELD</t>
        </is>
      </c>
      <c r="Q7" s="2" t="inlineStr">
        <is>
          <t>—</t>
        </is>
      </c>
      <c r="R7" s="2" t="inlineStr">
        <is>
          <t>—</t>
        </is>
      </c>
      <c r="S7" s="2" t="inlineStr">
        <is>
          <t>Yes</t>
        </is>
      </c>
      <c r="T7" s="2" t="inlineStr">
        <is>
          <t>Pass (differs)</t>
        </is>
      </c>
      <c r="U7" s="2" t="inlineStr">
        <is>
          <t>Developer: core value matches ("Bangsar Hill Park Development Sdn Bhd"); the Excel's bracketed or extra wording omitted</t>
        </is>
      </c>
    </row>
    <row r="8">
      <c r="A8" s="2" t="n">
        <v>4</v>
      </c>
      <c r="B8" s="2" t="inlineStr">
        <is>
          <t>ViiA Residences</t>
        </is>
      </c>
      <c r="C8" s="2" t="inlineStr">
        <is>
          <t>Pass</t>
        </is>
      </c>
      <c r="D8" s="2" t="inlineStr">
        <is>
          <t>PASS</t>
        </is>
      </c>
      <c r="E8" s="2" t="inlineStr">
        <is>
          <t>PASS</t>
        </is>
      </c>
      <c r="F8" s="2" t="inlineStr">
        <is>
          <t>PASS</t>
        </is>
      </c>
      <c r="G8" s="2" t="inlineStr">
        <is>
          <t>PASS</t>
        </is>
      </c>
      <c r="H8" s="2" t="inlineStr">
        <is>
          <t>PASS</t>
        </is>
      </c>
      <c r="I8" s="2" t="inlineStr">
        <is>
          <t>PASS</t>
        </is>
      </c>
      <c r="J8" s="2" t="inlineStr">
        <is>
          <t>—</t>
        </is>
      </c>
      <c r="K8" s="2" t="inlineStr">
        <is>
          <t>PASS</t>
        </is>
      </c>
      <c r="L8" s="2" t="inlineStr">
        <is>
          <t>PASS</t>
        </is>
      </c>
      <c r="M8" s="2" t="inlineStr">
        <is>
          <t>PASS</t>
        </is>
      </c>
      <c r="N8" s="2" t="inlineStr">
        <is>
          <t>PASS</t>
        </is>
      </c>
      <c r="O8" s="2" t="inlineStr">
        <is>
          <t>PASS</t>
        </is>
      </c>
      <c r="P8" s="2" t="inlineStr">
        <is>
          <t>PASS</t>
        </is>
      </c>
      <c r="Q8" s="2" t="inlineStr">
        <is>
          <t>—</t>
        </is>
      </c>
      <c r="R8" s="2" t="inlineStr">
        <is>
          <t>—</t>
        </is>
      </c>
      <c r="S8" s="2" t="inlineStr">
        <is>
          <t>Yes</t>
        </is>
      </c>
      <c r="T8" s="2" t="inlineStr">
        <is>
          <t>Pass (differs)</t>
        </is>
      </c>
      <c r="U8" s="2" t="inlineStr"/>
    </row>
    <row r="9">
      <c r="A9" s="2" t="n">
        <v>5</v>
      </c>
      <c r="B9" s="2" t="inlineStr">
        <is>
          <t>Enlace Suites @ Pantai Sentral Park</t>
        </is>
      </c>
      <c r="C9" s="2" t="inlineStr">
        <is>
          <t>Pass</t>
        </is>
      </c>
      <c r="D9" s="2" t="inlineStr">
        <is>
          <t>—</t>
        </is>
      </c>
      <c r="E9" s="2" t="inlineStr">
        <is>
          <t>—</t>
        </is>
      </c>
      <c r="F9" s="2" t="inlineStr">
        <is>
          <t>—</t>
        </is>
      </c>
      <c r="G9" s="2" t="inlineStr">
        <is>
          <t>—</t>
        </is>
      </c>
      <c r="H9" s="2" t="inlineStr">
        <is>
          <t>PASS</t>
        </is>
      </c>
      <c r="I9" s="2" t="inlineStr">
        <is>
          <t>PASS</t>
        </is>
      </c>
      <c r="J9" s="2" t="inlineStr">
        <is>
          <t>PASS</t>
        </is>
      </c>
      <c r="K9" s="2" t="inlineStr">
        <is>
          <t>—</t>
        </is>
      </c>
      <c r="L9" s="2" t="inlineStr">
        <is>
          <t>—</t>
        </is>
      </c>
      <c r="M9" s="2" t="inlineStr">
        <is>
          <t>PASS</t>
        </is>
      </c>
      <c r="N9" s="2" t="inlineStr">
        <is>
          <t>PASS</t>
        </is>
      </c>
      <c r="O9" s="2" t="inlineStr">
        <is>
          <t>PASS</t>
        </is>
      </c>
      <c r="P9" s="2" t="inlineStr">
        <is>
          <t>—</t>
        </is>
      </c>
      <c r="Q9" s="2" t="inlineStr">
        <is>
          <t>—</t>
        </is>
      </c>
      <c r="R9" s="2" t="inlineStr">
        <is>
          <t>—</t>
        </is>
      </c>
      <c r="S9" s="2" t="inlineStr">
        <is>
          <t>Yes</t>
        </is>
      </c>
      <c r="T9" s="2" t="inlineStr">
        <is>
          <t>Pass</t>
        </is>
      </c>
      <c r="U9" s="2" t="inlineStr"/>
    </row>
    <row r="10">
      <c r="A10" s="2" t="n">
        <v>6</v>
      </c>
      <c r="B10" s="2" t="inlineStr">
        <is>
          <t>The Lantern Bangsar</t>
        </is>
      </c>
      <c r="C10" s="2" t="inlineStr">
        <is>
          <t>Partial</t>
        </is>
      </c>
      <c r="D10" s="2" t="inlineStr">
        <is>
          <t>PARTIAL</t>
        </is>
      </c>
      <c r="E10" s="2" t="inlineStr">
        <is>
          <t>PASS</t>
        </is>
      </c>
      <c r="F10" s="2" t="inlineStr">
        <is>
          <t>—</t>
        </is>
      </c>
      <c r="G10" s="2" t="inlineStr">
        <is>
          <t>—</t>
        </is>
      </c>
      <c r="H10" s="2" t="inlineStr">
        <is>
          <t>PASS</t>
        </is>
      </c>
      <c r="I10" s="2" t="inlineStr">
        <is>
          <t>PASS</t>
        </is>
      </c>
      <c r="J10" s="2" t="inlineStr">
        <is>
          <t>—</t>
        </is>
      </c>
      <c r="K10" s="2" t="inlineStr">
        <is>
          <t>PASS</t>
        </is>
      </c>
      <c r="L10" s="2" t="inlineStr">
        <is>
          <t>PASS</t>
        </is>
      </c>
      <c r="M10" s="2" t="inlineStr">
        <is>
          <t>PASS</t>
        </is>
      </c>
      <c r="N10" s="2" t="inlineStr">
        <is>
          <t>PASS</t>
        </is>
      </c>
      <c r="O10" s="2" t="inlineStr">
        <is>
          <t>PASS</t>
        </is>
      </c>
      <c r="P10" s="2" t="inlineStr">
        <is>
          <t>—</t>
        </is>
      </c>
      <c r="Q10" s="2" t="inlineStr">
        <is>
          <t>—</t>
        </is>
      </c>
      <c r="R10" s="2" t="inlineStr">
        <is>
          <t>—</t>
        </is>
      </c>
      <c r="S10" s="2" t="inlineStr">
        <is>
          <t>Yes</t>
        </is>
      </c>
      <c r="T10" s="2" t="inlineStr">
        <is>
          <t>Pass</t>
        </is>
      </c>
      <c r="U10" s="2" t="inlineStr">
        <is>
          <t>Size: Manual: the bot labels the 570 sq ft layout 'Type A1' (the Excel says 'Type A') and adds a 'Type A2' of 561 sq ft that is not in the Excel. Claim 096 flagged Lantern's near-duplicate Type A / A1 layouts for the client.</t>
        </is>
      </c>
    </row>
    <row r="11">
      <c r="A11" s="2" t="n">
        <v>7</v>
      </c>
      <c r="B11" s="2" t="inlineStr">
        <is>
          <t>One Eleven Menerung @ Bangsar</t>
        </is>
      </c>
      <c r="C11" s="2" t="inlineStr">
        <is>
          <t>Pass</t>
        </is>
      </c>
      <c r="D11" s="2" t="inlineStr">
        <is>
          <t>PASS</t>
        </is>
      </c>
      <c r="E11" s="2" t="inlineStr">
        <is>
          <t>PASS</t>
        </is>
      </c>
      <c r="F11" s="2" t="inlineStr">
        <is>
          <t>PASS</t>
        </is>
      </c>
      <c r="G11" s="2" t="inlineStr">
        <is>
          <t>PASS</t>
        </is>
      </c>
      <c r="H11" s="2" t="inlineStr">
        <is>
          <t>PASS</t>
        </is>
      </c>
      <c r="I11" s="2" t="inlineStr">
        <is>
          <t>PASS</t>
        </is>
      </c>
      <c r="J11" s="2" t="inlineStr">
        <is>
          <t>—</t>
        </is>
      </c>
      <c r="K11" s="2" t="inlineStr">
        <is>
          <t>—</t>
        </is>
      </c>
      <c r="L11" s="2" t="inlineStr">
        <is>
          <t>PASS</t>
        </is>
      </c>
      <c r="M11" s="2" t="inlineStr">
        <is>
          <t>PASS</t>
        </is>
      </c>
      <c r="N11" s="2" t="inlineStr">
        <is>
          <t>PASS</t>
        </is>
      </c>
      <c r="O11" s="2" t="inlineStr">
        <is>
          <t>PASS</t>
        </is>
      </c>
      <c r="P11" s="2" t="inlineStr">
        <is>
          <t>—</t>
        </is>
      </c>
      <c r="Q11" s="2" t="inlineStr">
        <is>
          <t>—</t>
        </is>
      </c>
      <c r="R11" s="2" t="inlineStr">
        <is>
          <t>—</t>
        </is>
      </c>
      <c r="S11" s="2" t="inlineStr">
        <is>
          <t>Yes</t>
        </is>
      </c>
      <c r="T11" s="2" t="inlineStr">
        <is>
          <t>Pass</t>
        </is>
      </c>
      <c r="U11" s="2" t="inlineStr"/>
    </row>
    <row r="12">
      <c r="A12" s="2" t="n">
        <v>8</v>
      </c>
      <c r="B12" s="2" t="inlineStr">
        <is>
          <t>Pavilion Damansara Heights</t>
        </is>
      </c>
      <c r="C12" s="2" t="inlineStr">
        <is>
          <t>Pass</t>
        </is>
      </c>
      <c r="D12" s="2" t="inlineStr">
        <is>
          <t>—</t>
        </is>
      </c>
      <c r="E12" s="2" t="inlineStr">
        <is>
          <t>—</t>
        </is>
      </c>
      <c r="F12" s="2" t="inlineStr">
        <is>
          <t>—</t>
        </is>
      </c>
      <c r="G12" s="2" t="inlineStr">
        <is>
          <t>—</t>
        </is>
      </c>
      <c r="H12" s="2" t="inlineStr">
        <is>
          <t>PASS</t>
        </is>
      </c>
      <c r="I12" s="2" t="inlineStr">
        <is>
          <t>PASS</t>
        </is>
      </c>
      <c r="J12" s="2" t="inlineStr">
        <is>
          <t>—</t>
        </is>
      </c>
      <c r="K12" s="2" t="inlineStr">
        <is>
          <t>PASS</t>
        </is>
      </c>
      <c r="L12" s="2" t="inlineStr">
        <is>
          <t>PASS</t>
        </is>
      </c>
      <c r="M12" s="2" t="inlineStr">
        <is>
          <t>PASS</t>
        </is>
      </c>
      <c r="N12" s="2" t="inlineStr">
        <is>
          <t>—</t>
        </is>
      </c>
      <c r="O12" s="2" t="inlineStr">
        <is>
          <t>—</t>
        </is>
      </c>
      <c r="P12" s="2" t="inlineStr">
        <is>
          <t>—</t>
        </is>
      </c>
      <c r="Q12" s="2" t="inlineStr">
        <is>
          <t>—</t>
        </is>
      </c>
      <c r="R12" s="2" t="inlineStr">
        <is>
          <t>—</t>
        </is>
      </c>
      <c r="S12" s="2" t="inlineStr">
        <is>
          <t>Yes</t>
        </is>
      </c>
      <c r="T12" s="2" t="inlineStr">
        <is>
          <t>Pass</t>
        </is>
      </c>
      <c r="U12" s="2" t="inlineStr"/>
    </row>
    <row r="13">
      <c r="A13" s="2" t="n">
        <v>9</v>
      </c>
      <c r="B13" s="2" t="inlineStr">
        <is>
          <t>PDH: Royal Suites(RC)</t>
        </is>
      </c>
      <c r="C13" s="2" t="inlineStr">
        <is>
          <t>Pass</t>
        </is>
      </c>
      <c r="D13" s="2" t="inlineStr">
        <is>
          <t>PASS</t>
        </is>
      </c>
      <c r="E13" s="2" t="inlineStr">
        <is>
          <t>PASS</t>
        </is>
      </c>
      <c r="F13" s="2" t="inlineStr">
        <is>
          <t>—</t>
        </is>
      </c>
      <c r="G13" s="2" t="inlineStr">
        <is>
          <t>—</t>
        </is>
      </c>
      <c r="H13" s="2" t="inlineStr">
        <is>
          <t>PASS</t>
        </is>
      </c>
      <c r="I13" s="2" t="inlineStr">
        <is>
          <t>PASS</t>
        </is>
      </c>
      <c r="J13" s="2" t="inlineStr">
        <is>
          <t>PASS</t>
        </is>
      </c>
      <c r="K13" s="2" t="inlineStr">
        <is>
          <t>PASS</t>
        </is>
      </c>
      <c r="L13" s="2" t="inlineStr">
        <is>
          <t>PASS</t>
        </is>
      </c>
      <c r="M13" s="2" t="inlineStr">
        <is>
          <t>PASS</t>
        </is>
      </c>
      <c r="N13" s="2" t="inlineStr">
        <is>
          <t>PASS</t>
        </is>
      </c>
      <c r="O13" s="2" t="inlineStr">
        <is>
          <t>PASS</t>
        </is>
      </c>
      <c r="P13" s="2" t="inlineStr">
        <is>
          <t>—</t>
        </is>
      </c>
      <c r="Q13" s="2" t="inlineStr">
        <is>
          <t>PASS</t>
        </is>
      </c>
      <c r="R13" s="2" t="inlineStr">
        <is>
          <t>—</t>
        </is>
      </c>
      <c r="S13" s="2" t="inlineStr">
        <is>
          <t>Yes</t>
        </is>
      </c>
      <c r="T13" s="2" t="inlineStr">
        <is>
          <t>Pass</t>
        </is>
      </c>
      <c r="U13" s="2" t="inlineStr"/>
    </row>
    <row r="14">
      <c r="A14" s="2" t="n">
        <v>10</v>
      </c>
      <c r="B14" s="2" t="inlineStr">
        <is>
          <t>Pinnacle Bangsar Residence</t>
        </is>
      </c>
      <c r="C14" s="2" t="inlineStr">
        <is>
          <t>Pass</t>
        </is>
      </c>
      <c r="D14" s="2" t="inlineStr">
        <is>
          <t>—</t>
        </is>
      </c>
      <c r="E14" s="2" t="inlineStr">
        <is>
          <t>—</t>
        </is>
      </c>
      <c r="F14" s="2" t="inlineStr">
        <is>
          <t>—</t>
        </is>
      </c>
      <c r="G14" s="2" t="inlineStr">
        <is>
          <t>—</t>
        </is>
      </c>
      <c r="H14" s="2" t="inlineStr">
        <is>
          <t>PASS</t>
        </is>
      </c>
      <c r="I14" s="2" t="inlineStr">
        <is>
          <t>PASS</t>
        </is>
      </c>
      <c r="J14" s="2" t="inlineStr">
        <is>
          <t>—</t>
        </is>
      </c>
      <c r="K14" s="2" t="inlineStr">
        <is>
          <t>PASS</t>
        </is>
      </c>
      <c r="L14" s="2" t="inlineStr">
        <is>
          <t>PASS</t>
        </is>
      </c>
      <c r="M14" s="2" t="inlineStr">
        <is>
          <t>PASS</t>
        </is>
      </c>
      <c r="N14" s="2" t="inlineStr">
        <is>
          <t>PASS</t>
        </is>
      </c>
      <c r="O14" s="2" t="inlineStr">
        <is>
          <t>PASS</t>
        </is>
      </c>
      <c r="P14" s="2" t="inlineStr">
        <is>
          <t>—</t>
        </is>
      </c>
      <c r="Q14" s="2" t="inlineStr">
        <is>
          <t>—</t>
        </is>
      </c>
      <c r="R14" s="2" t="inlineStr">
        <is>
          <t>—</t>
        </is>
      </c>
      <c r="S14" s="2" t="inlineStr">
        <is>
          <t>Yes</t>
        </is>
      </c>
      <c r="T14" s="2" t="inlineStr">
        <is>
          <t>Pass</t>
        </is>
      </c>
      <c r="U14" s="2" t="inlineStr">
        <is>
          <t>Total Floors: core value matches ("49 storeys"); the Excel's bracketed or extra wording omitted</t>
        </is>
      </c>
    </row>
    <row r="15">
      <c r="A15" s="2" t="n">
        <v>11</v>
      </c>
      <c r="B15" s="2" t="inlineStr">
        <is>
          <t>Parkside Residences</t>
        </is>
      </c>
      <c r="C15" s="2" t="inlineStr">
        <is>
          <t>Pass</t>
        </is>
      </c>
      <c r="D15" s="2" t="inlineStr">
        <is>
          <t>PASS</t>
        </is>
      </c>
      <c r="E15" s="2" t="inlineStr">
        <is>
          <t>PASS</t>
        </is>
      </c>
      <c r="F15" s="2" t="inlineStr">
        <is>
          <t>PASS</t>
        </is>
      </c>
      <c r="G15" s="2" t="inlineStr">
        <is>
          <t>PASS</t>
        </is>
      </c>
      <c r="H15" s="2" t="inlineStr">
        <is>
          <t>PASS</t>
        </is>
      </c>
      <c r="I15" s="2" t="inlineStr">
        <is>
          <t>PASS</t>
        </is>
      </c>
      <c r="J15" s="2" t="inlineStr">
        <is>
          <t>—</t>
        </is>
      </c>
      <c r="K15" s="2" t="inlineStr">
        <is>
          <t>PASS</t>
        </is>
      </c>
      <c r="L15" s="2" t="inlineStr">
        <is>
          <t>PASS</t>
        </is>
      </c>
      <c r="M15" s="2" t="inlineStr">
        <is>
          <t>PASS</t>
        </is>
      </c>
      <c r="N15" s="2" t="inlineStr">
        <is>
          <t>—</t>
        </is>
      </c>
      <c r="O15" s="2" t="inlineStr">
        <is>
          <t>PASS</t>
        </is>
      </c>
      <c r="P15" s="2" t="inlineStr">
        <is>
          <t>—</t>
        </is>
      </c>
      <c r="Q15" s="2" t="inlineStr">
        <is>
          <t>—</t>
        </is>
      </c>
      <c r="R15" s="2" t="inlineStr">
        <is>
          <t>—</t>
        </is>
      </c>
      <c r="S15" s="2" t="inlineStr">
        <is>
          <t>Yes</t>
        </is>
      </c>
      <c r="T15" s="2" t="inlineStr">
        <is>
          <t>Partial</t>
        </is>
      </c>
      <c r="U15" s="2" t="inlineStr">
        <is>
          <t>Developer: core value matches ("Setia M S SFH Development Sdn Bhd / JV of SP Setia + Mitsui "); the Excel's bracketed or extra wording omitted</t>
        </is>
      </c>
    </row>
    <row r="16">
      <c r="A16" s="2" t="n">
        <v>12</v>
      </c>
      <c r="B16" s="2" t="inlineStr">
        <is>
          <t>Rhombus</t>
        </is>
      </c>
      <c r="C16" s="2" t="inlineStr">
        <is>
          <t>Pass</t>
        </is>
      </c>
      <c r="D16" s="2" t="inlineStr">
        <is>
          <t>—</t>
        </is>
      </c>
      <c r="E16" s="2" t="inlineStr">
        <is>
          <t>—</t>
        </is>
      </c>
      <c r="F16" s="2" t="inlineStr">
        <is>
          <t>—</t>
        </is>
      </c>
      <c r="G16" s="2" t="inlineStr">
        <is>
          <t>—</t>
        </is>
      </c>
      <c r="H16" s="2" t="inlineStr">
        <is>
          <t>PASS</t>
        </is>
      </c>
      <c r="I16" s="2" t="inlineStr">
        <is>
          <t>PASS</t>
        </is>
      </c>
      <c r="J16" s="2" t="inlineStr">
        <is>
          <t>PASS</t>
        </is>
      </c>
      <c r="K16" s="2" t="inlineStr">
        <is>
          <t>PASS</t>
        </is>
      </c>
      <c r="L16" s="2" t="inlineStr">
        <is>
          <t>PASS</t>
        </is>
      </c>
      <c r="M16" s="2" t="inlineStr">
        <is>
          <t>PASS</t>
        </is>
      </c>
      <c r="N16" s="2" t="inlineStr">
        <is>
          <t>—</t>
        </is>
      </c>
      <c r="O16" s="2" t="inlineStr">
        <is>
          <t>PASS</t>
        </is>
      </c>
      <c r="P16" s="2" t="inlineStr">
        <is>
          <t>—</t>
        </is>
      </c>
      <c r="Q16" s="2" t="inlineStr">
        <is>
          <t>—</t>
        </is>
      </c>
      <c r="R16" s="2" t="inlineStr">
        <is>
          <t>—</t>
        </is>
      </c>
      <c r="S16" s="2" t="inlineStr">
        <is>
          <t>Yes</t>
        </is>
      </c>
      <c r="T16" s="2" t="inlineStr">
        <is>
          <t>Pass</t>
        </is>
      </c>
      <c r="U16" s="2" t="inlineStr"/>
    </row>
    <row r="17">
      <c r="A17" s="2" t="n">
        <v>13</v>
      </c>
      <c r="B17" s="2" t="inlineStr">
        <is>
          <t>Riana Trees Residences</t>
        </is>
      </c>
      <c r="C17" s="2" t="inlineStr">
        <is>
          <t>Pass</t>
        </is>
      </c>
      <c r="D17" s="2" t="inlineStr">
        <is>
          <t>—</t>
        </is>
      </c>
      <c r="E17" s="2" t="inlineStr">
        <is>
          <t>—</t>
        </is>
      </c>
      <c r="F17" s="2" t="inlineStr">
        <is>
          <t>—</t>
        </is>
      </c>
      <c r="G17" s="2" t="inlineStr">
        <is>
          <t>—</t>
        </is>
      </c>
      <c r="H17" s="2" t="inlineStr">
        <is>
          <t>PASS</t>
        </is>
      </c>
      <c r="I17" s="2" t="inlineStr">
        <is>
          <t>PASS</t>
        </is>
      </c>
      <c r="J17" s="2" t="inlineStr">
        <is>
          <t>PASS</t>
        </is>
      </c>
      <c r="K17" s="2" t="inlineStr">
        <is>
          <t>—</t>
        </is>
      </c>
      <c r="L17" s="2" t="inlineStr">
        <is>
          <t>HELD</t>
        </is>
      </c>
      <c r="M17" s="2" t="inlineStr">
        <is>
          <t>PASS</t>
        </is>
      </c>
      <c r="N17" s="2" t="inlineStr">
        <is>
          <t>—</t>
        </is>
      </c>
      <c r="O17" s="2" t="inlineStr">
        <is>
          <t>—</t>
        </is>
      </c>
      <c r="P17" s="2" t="inlineStr">
        <is>
          <t>—</t>
        </is>
      </c>
      <c r="Q17" s="2" t="inlineStr">
        <is>
          <t>—</t>
        </is>
      </c>
      <c r="R17" s="2" t="inlineStr">
        <is>
          <t>—</t>
        </is>
      </c>
      <c r="S17" s="2" t="inlineStr">
        <is>
          <t>Yes</t>
        </is>
      </c>
      <c r="T17" s="2" t="inlineStr">
        <is>
          <t>Pass</t>
        </is>
      </c>
      <c r="U17" s="2" t="inlineStr">
        <is>
          <t>Total Units: core value matches ("336 units"); the Excel's bracketed or extra wording omitted</t>
        </is>
      </c>
    </row>
    <row r="18">
      <c r="A18" s="2" t="n">
        <v>14</v>
      </c>
      <c r="B18" s="2" t="inlineStr">
        <is>
          <t>Residensi 38 Bangsar</t>
        </is>
      </c>
      <c r="C18" s="2" t="inlineStr">
        <is>
          <t>Pass</t>
        </is>
      </c>
      <c r="D18" s="2" t="inlineStr">
        <is>
          <t>—</t>
        </is>
      </c>
      <c r="E18" s="2" t="inlineStr">
        <is>
          <t>—</t>
        </is>
      </c>
      <c r="F18" s="2" t="inlineStr">
        <is>
          <t>—</t>
        </is>
      </c>
      <c r="G18" s="2" t="inlineStr">
        <is>
          <t>—</t>
        </is>
      </c>
      <c r="H18" s="2" t="inlineStr">
        <is>
          <t>PASS</t>
        </is>
      </c>
      <c r="I18" s="2" t="inlineStr">
        <is>
          <t>PASS</t>
        </is>
      </c>
      <c r="J18" s="2" t="inlineStr">
        <is>
          <t>—</t>
        </is>
      </c>
      <c r="K18" s="2" t="inlineStr">
        <is>
          <t>—</t>
        </is>
      </c>
      <c r="L18" s="2" t="inlineStr">
        <is>
          <t>PASS</t>
        </is>
      </c>
      <c r="M18" s="2" t="inlineStr">
        <is>
          <t>PASS</t>
        </is>
      </c>
      <c r="N18" s="2" t="inlineStr">
        <is>
          <t>PASS</t>
        </is>
      </c>
      <c r="O18" s="2" t="inlineStr">
        <is>
          <t>PASS</t>
        </is>
      </c>
      <c r="P18" s="2" t="inlineStr">
        <is>
          <t>—</t>
        </is>
      </c>
      <c r="Q18" s="2" t="inlineStr">
        <is>
          <t>—</t>
        </is>
      </c>
      <c r="R18" s="2" t="inlineStr">
        <is>
          <t>—</t>
        </is>
      </c>
      <c r="S18" s="2" t="inlineStr">
        <is>
          <t>Yes</t>
        </is>
      </c>
      <c r="T18" s="2" t="inlineStr">
        <is>
          <t>Pass</t>
        </is>
      </c>
      <c r="U18" s="2" t="inlineStr"/>
    </row>
    <row r="19">
      <c r="A19" s="2" t="n">
        <v>15</v>
      </c>
      <c r="B19" s="2" t="inlineStr">
        <is>
          <t>Lunar Seputeh</t>
        </is>
      </c>
      <c r="C19" s="2" t="inlineStr">
        <is>
          <t>Pass</t>
        </is>
      </c>
      <c r="D19" s="2" t="inlineStr">
        <is>
          <t>—</t>
        </is>
      </c>
      <c r="E19" s="2" t="inlineStr">
        <is>
          <t>—</t>
        </is>
      </c>
      <c r="F19" s="2" t="inlineStr">
        <is>
          <t>—</t>
        </is>
      </c>
      <c r="G19" s="2" t="inlineStr">
        <is>
          <t>—</t>
        </is>
      </c>
      <c r="H19" s="2" t="inlineStr">
        <is>
          <t>PASS</t>
        </is>
      </c>
      <c r="I19" s="2" t="inlineStr">
        <is>
          <t>PASS</t>
        </is>
      </c>
      <c r="J19" s="2" t="inlineStr">
        <is>
          <t>PASS</t>
        </is>
      </c>
      <c r="K19" s="2" t="inlineStr">
        <is>
          <t>—</t>
        </is>
      </c>
      <c r="L19" s="2" t="inlineStr">
        <is>
          <t>PASS</t>
        </is>
      </c>
      <c r="M19" s="2" t="inlineStr">
        <is>
          <t>PASS</t>
        </is>
      </c>
      <c r="N19" s="2" t="inlineStr">
        <is>
          <t>PASS</t>
        </is>
      </c>
      <c r="O19" s="2" t="inlineStr">
        <is>
          <t>PASS</t>
        </is>
      </c>
      <c r="P19" s="2" t="inlineStr">
        <is>
          <t>—</t>
        </is>
      </c>
      <c r="Q19" s="2" t="inlineStr">
        <is>
          <t>—</t>
        </is>
      </c>
      <c r="R19" s="2" t="inlineStr">
        <is>
          <t>—</t>
        </is>
      </c>
      <c r="S19" s="2" t="inlineStr">
        <is>
          <t>Yes</t>
        </is>
      </c>
      <c r="T19" s="2" t="inlineStr">
        <is>
          <t>Pass</t>
        </is>
      </c>
      <c r="U19" s="2" t="inlineStr"/>
    </row>
    <row r="20">
      <c r="A20" s="2" t="n">
        <v>16</v>
      </c>
      <c r="B20" s="2" t="inlineStr">
        <is>
          <t>Sentral Suites @ KL Sentral</t>
        </is>
      </c>
      <c r="C20" s="2" t="inlineStr">
        <is>
          <t>Pass</t>
        </is>
      </c>
      <c r="D20" s="2" t="inlineStr">
        <is>
          <t>—</t>
        </is>
      </c>
      <c r="E20" s="2" t="inlineStr">
        <is>
          <t>—</t>
        </is>
      </c>
      <c r="F20" s="2" t="inlineStr">
        <is>
          <t>—</t>
        </is>
      </c>
      <c r="G20" s="2" t="inlineStr">
        <is>
          <t>—</t>
        </is>
      </c>
      <c r="H20" s="2" t="inlineStr">
        <is>
          <t>PASS</t>
        </is>
      </c>
      <c r="I20" s="2" t="inlineStr">
        <is>
          <t>PASS</t>
        </is>
      </c>
      <c r="J20" s="2" t="inlineStr">
        <is>
          <t>PASS</t>
        </is>
      </c>
      <c r="K20" s="2" t="inlineStr">
        <is>
          <t>PASS</t>
        </is>
      </c>
      <c r="L20" s="2" t="inlineStr">
        <is>
          <t>HELD</t>
        </is>
      </c>
      <c r="M20" s="2" t="inlineStr">
        <is>
          <t>HELD</t>
        </is>
      </c>
      <c r="N20" s="2" t="inlineStr">
        <is>
          <t>—</t>
        </is>
      </c>
      <c r="O20" s="2" t="inlineStr">
        <is>
          <t>PASS</t>
        </is>
      </c>
      <c r="P20" s="2" t="inlineStr">
        <is>
          <t>PASS</t>
        </is>
      </c>
      <c r="Q20" s="2" t="inlineStr">
        <is>
          <t>—</t>
        </is>
      </c>
      <c r="R20" s="2" t="inlineStr">
        <is>
          <t>—</t>
        </is>
      </c>
      <c r="S20" s="2" t="inlineStr">
        <is>
          <t>Yes</t>
        </is>
      </c>
      <c r="T20" s="2" t="inlineStr">
        <is>
          <t>Pass</t>
        </is>
      </c>
      <c r="U20" s="2" t="inlineStr">
        <is>
          <t>Developer: core value matches ("MRCB"); the Excel's bracketed or extra wording omitted | Top Reasons Why: 6/8 Excel items given; missing: Not Many Small Units Around; Easy to Go Anywhere</t>
        </is>
      </c>
    </row>
    <row r="21">
      <c r="A21" s="2" t="n">
        <v>17</v>
      </c>
      <c r="B21" s="2" t="inlineStr">
        <is>
          <t>The Cedar Damansara Heights</t>
        </is>
      </c>
      <c r="C21" s="2" t="inlineStr">
        <is>
          <t>Pass</t>
        </is>
      </c>
      <c r="D21" s="2" t="inlineStr">
        <is>
          <t>—</t>
        </is>
      </c>
      <c r="E21" s="2" t="inlineStr">
        <is>
          <t>—</t>
        </is>
      </c>
      <c r="F21" s="2" t="inlineStr">
        <is>
          <t>—</t>
        </is>
      </c>
      <c r="G21" s="2" t="inlineStr">
        <is>
          <t>—</t>
        </is>
      </c>
      <c r="H21" s="2" t="inlineStr">
        <is>
          <t>PASS</t>
        </is>
      </c>
      <c r="I21" s="2" t="inlineStr">
        <is>
          <t>—</t>
        </is>
      </c>
      <c r="J21" s="2" t="inlineStr">
        <is>
          <t>—</t>
        </is>
      </c>
      <c r="K21" s="2" t="inlineStr">
        <is>
          <t>PASS</t>
        </is>
      </c>
      <c r="L21" s="2" t="inlineStr">
        <is>
          <t>PASS</t>
        </is>
      </c>
      <c r="M21" s="2" t="inlineStr">
        <is>
          <t>—</t>
        </is>
      </c>
      <c r="N21" s="2" t="inlineStr">
        <is>
          <t>—</t>
        </is>
      </c>
      <c r="O21" s="2" t="inlineStr">
        <is>
          <t>PASS</t>
        </is>
      </c>
      <c r="P21" s="2" t="inlineStr">
        <is>
          <t>—</t>
        </is>
      </c>
      <c r="Q21" s="2" t="inlineStr">
        <is>
          <t>—</t>
        </is>
      </c>
      <c r="R21" s="2" t="inlineStr">
        <is>
          <t>—</t>
        </is>
      </c>
      <c r="S21" s="2" t="inlineStr">
        <is>
          <t>Yes</t>
        </is>
      </c>
      <c r="T21" s="2" t="inlineStr">
        <is>
          <t>Pass</t>
        </is>
      </c>
      <c r="U21" s="2" t="inlineStr"/>
    </row>
    <row r="22">
      <c r="A22" s="2" t="n">
        <v>18</v>
      </c>
      <c r="B22" s="2" t="inlineStr">
        <is>
          <t>Tria Seputeh</t>
        </is>
      </c>
      <c r="C22" s="2" t="inlineStr">
        <is>
          <t>Pass</t>
        </is>
      </c>
      <c r="D22" s="2" t="inlineStr">
        <is>
          <t>—</t>
        </is>
      </c>
      <c r="E22" s="2" t="inlineStr">
        <is>
          <t>—</t>
        </is>
      </c>
      <c r="F22" s="2" t="inlineStr">
        <is>
          <t>—</t>
        </is>
      </c>
      <c r="G22" s="2" t="inlineStr">
        <is>
          <t>—</t>
        </is>
      </c>
      <c r="H22" s="2" t="inlineStr">
        <is>
          <t>PASS</t>
        </is>
      </c>
      <c r="I22" s="2" t="inlineStr">
        <is>
          <t>PASS</t>
        </is>
      </c>
      <c r="J22" s="2" t="inlineStr">
        <is>
          <t>—</t>
        </is>
      </c>
      <c r="K22" s="2" t="inlineStr">
        <is>
          <t>PASS</t>
        </is>
      </c>
      <c r="L22" s="2" t="inlineStr">
        <is>
          <t>PASS</t>
        </is>
      </c>
      <c r="M22" s="2" t="inlineStr">
        <is>
          <t>—</t>
        </is>
      </c>
      <c r="N22" s="2" t="inlineStr">
        <is>
          <t>—</t>
        </is>
      </c>
      <c r="O22" s="2" t="inlineStr">
        <is>
          <t>PASS</t>
        </is>
      </c>
      <c r="P22" s="2" t="inlineStr">
        <is>
          <t>—</t>
        </is>
      </c>
      <c r="Q22" s="2" t="inlineStr">
        <is>
          <t>—</t>
        </is>
      </c>
      <c r="R22" s="2" t="inlineStr">
        <is>
          <t>—</t>
        </is>
      </c>
      <c r="S22" s="2" t="inlineStr">
        <is>
          <t>Yes</t>
        </is>
      </c>
      <c r="T22" s="2" t="inlineStr">
        <is>
          <t>Pass</t>
        </is>
      </c>
      <c r="U22" s="2" t="inlineStr">
        <is>
          <t>Developer: core value matches ("MRCB"); the Excel's bracketed or extra wording omitted</t>
        </is>
      </c>
    </row>
    <row r="23">
      <c r="A23" s="2" t="n">
        <v>19</v>
      </c>
      <c r="B23" s="2" t="inlineStr">
        <is>
          <t>d'Brightton titiwangsa</t>
        </is>
      </c>
      <c r="C23" s="2" t="inlineStr">
        <is>
          <t>Pass</t>
        </is>
      </c>
      <c r="D23" s="2" t="inlineStr">
        <is>
          <t>—</t>
        </is>
      </c>
      <c r="E23" s="2" t="inlineStr">
        <is>
          <t>—</t>
        </is>
      </c>
      <c r="F23" s="2" t="inlineStr">
        <is>
          <t>—</t>
        </is>
      </c>
      <c r="G23" s="2" t="inlineStr">
        <is>
          <t>—</t>
        </is>
      </c>
      <c r="H23" s="2" t="inlineStr">
        <is>
          <t>PASS</t>
        </is>
      </c>
      <c r="I23" s="2" t="inlineStr">
        <is>
          <t>PASS</t>
        </is>
      </c>
      <c r="J23" s="2" t="inlineStr">
        <is>
          <t>—</t>
        </is>
      </c>
      <c r="K23" s="2" t="inlineStr">
        <is>
          <t>PASS</t>
        </is>
      </c>
      <c r="L23" s="2" t="inlineStr">
        <is>
          <t>PASS</t>
        </is>
      </c>
      <c r="M23" s="2" t="inlineStr">
        <is>
          <t>PASS</t>
        </is>
      </c>
      <c r="N23" s="2" t="inlineStr">
        <is>
          <t>—</t>
        </is>
      </c>
      <c r="O23" s="2" t="inlineStr">
        <is>
          <t>PASS</t>
        </is>
      </c>
      <c r="P23" s="2" t="inlineStr">
        <is>
          <t>—</t>
        </is>
      </c>
      <c r="Q23" s="2" t="inlineStr">
        <is>
          <t>—</t>
        </is>
      </c>
      <c r="R23" s="2" t="inlineStr">
        <is>
          <t>—</t>
        </is>
      </c>
      <c r="S23" s="2" t="inlineStr">
        <is>
          <t>Yes</t>
        </is>
      </c>
      <c r="T23" s="2" t="inlineStr">
        <is>
          <t>Pass</t>
        </is>
      </c>
      <c r="U23" s="2" t="inlineStr"/>
    </row>
    <row r="24">
      <c r="A24" s="2" t="n">
        <v>20</v>
      </c>
      <c r="B24" s="2" t="inlineStr">
        <is>
          <t>IJM Sierra Hijauan</t>
        </is>
      </c>
      <c r="C24" s="2" t="inlineStr">
        <is>
          <t>Pass</t>
        </is>
      </c>
      <c r="D24" s="2" t="inlineStr">
        <is>
          <t>—</t>
        </is>
      </c>
      <c r="E24" s="2" t="inlineStr">
        <is>
          <t>—</t>
        </is>
      </c>
      <c r="F24" s="2" t="inlineStr">
        <is>
          <t>—</t>
        </is>
      </c>
      <c r="G24" s="2" t="inlineStr">
        <is>
          <t>—</t>
        </is>
      </c>
      <c r="H24" s="2" t="inlineStr">
        <is>
          <t>PASS</t>
        </is>
      </c>
      <c r="I24" s="2" t="inlineStr">
        <is>
          <t>PASS</t>
        </is>
      </c>
      <c r="J24" s="2" t="inlineStr">
        <is>
          <t>PASS</t>
        </is>
      </c>
      <c r="K24" s="2" t="inlineStr">
        <is>
          <t>PASS</t>
        </is>
      </c>
      <c r="L24" s="2" t="inlineStr">
        <is>
          <t>PASS</t>
        </is>
      </c>
      <c r="M24" s="2" t="inlineStr">
        <is>
          <t>PASS</t>
        </is>
      </c>
      <c r="N24" s="2" t="inlineStr">
        <is>
          <t>—</t>
        </is>
      </c>
      <c r="O24" s="2" t="inlineStr">
        <is>
          <t>PASS</t>
        </is>
      </c>
      <c r="P24" s="2" t="inlineStr">
        <is>
          <t>—</t>
        </is>
      </c>
      <c r="Q24" s="2" t="inlineStr">
        <is>
          <t>—</t>
        </is>
      </c>
      <c r="R24" s="2" t="inlineStr">
        <is>
          <t>—</t>
        </is>
      </c>
      <c r="S24" s="2" t="inlineStr">
        <is>
          <t>Yes</t>
        </is>
      </c>
      <c r="T24" s="2" t="inlineStr">
        <is>
          <t>Pass</t>
        </is>
      </c>
      <c r="U24" s="2" t="inlineStr"/>
    </row>
    <row r="25">
      <c r="A25" s="2" t="n">
        <v>21</v>
      </c>
      <c r="B25" s="2" t="inlineStr">
        <is>
          <t>Puncak Wangsamas Phase 2</t>
        </is>
      </c>
      <c r="C25" s="2" t="inlineStr">
        <is>
          <t>Pass</t>
        </is>
      </c>
      <c r="D25" s="2" t="inlineStr">
        <is>
          <t>PASS</t>
        </is>
      </c>
      <c r="E25" s="2" t="inlineStr">
        <is>
          <t>PASS</t>
        </is>
      </c>
      <c r="F25" s="2" t="inlineStr">
        <is>
          <t>PASS</t>
        </is>
      </c>
      <c r="G25" s="2" t="inlineStr">
        <is>
          <t>HELD</t>
        </is>
      </c>
      <c r="H25" s="2" t="inlineStr">
        <is>
          <t>PASS</t>
        </is>
      </c>
      <c r="I25" s="2" t="inlineStr">
        <is>
          <t>PASS</t>
        </is>
      </c>
      <c r="J25" s="2" t="inlineStr">
        <is>
          <t>PASS</t>
        </is>
      </c>
      <c r="K25" s="2" t="inlineStr">
        <is>
          <t>—</t>
        </is>
      </c>
      <c r="L25" s="2" t="inlineStr">
        <is>
          <t>PASS</t>
        </is>
      </c>
      <c r="M25" s="2" t="inlineStr">
        <is>
          <t>PASS</t>
        </is>
      </c>
      <c r="N25" s="2" t="inlineStr">
        <is>
          <t>—</t>
        </is>
      </c>
      <c r="O25" s="2" t="inlineStr">
        <is>
          <t>—</t>
        </is>
      </c>
      <c r="P25" s="2" t="inlineStr">
        <is>
          <t>—</t>
        </is>
      </c>
      <c r="Q25" s="2" t="inlineStr">
        <is>
          <t>—</t>
        </is>
      </c>
      <c r="R25" s="2" t="inlineStr">
        <is>
          <t>—</t>
        </is>
      </c>
      <c r="S25" s="2" t="inlineStr">
        <is>
          <t>Yes</t>
        </is>
      </c>
      <c r="T25" s="2" t="inlineStr">
        <is>
          <t>Pass</t>
        </is>
      </c>
      <c r="U25" s="2" t="inlineStr"/>
    </row>
    <row r="26">
      <c r="A26" s="2" t="n">
        <v>22</v>
      </c>
      <c r="B26" s="2" t="inlineStr">
        <is>
          <t>The Reya</t>
        </is>
      </c>
      <c r="C26" s="2" t="inlineStr">
        <is>
          <t>Pass</t>
        </is>
      </c>
      <c r="D26" s="2" t="inlineStr">
        <is>
          <t>—</t>
        </is>
      </c>
      <c r="E26" s="2" t="inlineStr">
        <is>
          <t>—</t>
        </is>
      </c>
      <c r="F26" s="2" t="inlineStr">
        <is>
          <t>—</t>
        </is>
      </c>
      <c r="G26" s="2" t="inlineStr">
        <is>
          <t>—</t>
        </is>
      </c>
      <c r="H26" s="2" t="inlineStr">
        <is>
          <t>PASS</t>
        </is>
      </c>
      <c r="I26" s="2" t="inlineStr">
        <is>
          <t>PASS</t>
        </is>
      </c>
      <c r="J26" s="2" t="inlineStr">
        <is>
          <t>—</t>
        </is>
      </c>
      <c r="K26" s="2" t="inlineStr">
        <is>
          <t>PASS</t>
        </is>
      </c>
      <c r="L26" s="2" t="inlineStr">
        <is>
          <t>PASS</t>
        </is>
      </c>
      <c r="M26" s="2" t="inlineStr">
        <is>
          <t>—</t>
        </is>
      </c>
      <c r="N26" s="2" t="inlineStr">
        <is>
          <t>—</t>
        </is>
      </c>
      <c r="O26" s="2" t="inlineStr">
        <is>
          <t>—</t>
        </is>
      </c>
      <c r="P26" s="2" t="inlineStr">
        <is>
          <t>—</t>
        </is>
      </c>
      <c r="Q26" s="2" t="inlineStr">
        <is>
          <t>—</t>
        </is>
      </c>
      <c r="R26" s="2" t="inlineStr">
        <is>
          <t>—</t>
        </is>
      </c>
      <c r="S26" s="2" t="inlineStr">
        <is>
          <t>Yes</t>
        </is>
      </c>
      <c r="T26" s="2" t="inlineStr">
        <is>
          <t>Pass</t>
        </is>
      </c>
      <c r="U26" s="2" t="inlineStr"/>
    </row>
    <row r="27">
      <c r="A27" s="2" t="n">
        <v>23</v>
      </c>
      <c r="B27" s="2" t="inlineStr">
        <is>
          <t>Padang Residences</t>
        </is>
      </c>
      <c r="C27" s="2" t="inlineStr">
        <is>
          <t>Pass</t>
        </is>
      </c>
      <c r="D27" s="2" t="inlineStr">
        <is>
          <t>—</t>
        </is>
      </c>
      <c r="E27" s="2" t="inlineStr">
        <is>
          <t>—</t>
        </is>
      </c>
      <c r="F27" s="2" t="inlineStr">
        <is>
          <t>—</t>
        </is>
      </c>
      <c r="G27" s="2" t="inlineStr">
        <is>
          <t>—</t>
        </is>
      </c>
      <c r="H27" s="2" t="inlineStr">
        <is>
          <t>PASS</t>
        </is>
      </c>
      <c r="I27" s="2" t="inlineStr">
        <is>
          <t>PASS</t>
        </is>
      </c>
      <c r="J27" s="2" t="inlineStr">
        <is>
          <t>PASS</t>
        </is>
      </c>
      <c r="K27" s="2" t="inlineStr">
        <is>
          <t>PASS</t>
        </is>
      </c>
      <c r="L27" s="2" t="inlineStr">
        <is>
          <t>PASS</t>
        </is>
      </c>
      <c r="M27" s="2" t="inlineStr">
        <is>
          <t>PASS</t>
        </is>
      </c>
      <c r="N27" s="2" t="inlineStr">
        <is>
          <t>PASS</t>
        </is>
      </c>
      <c r="O27" s="2" t="inlineStr">
        <is>
          <t>PASS</t>
        </is>
      </c>
      <c r="P27" s="2" t="inlineStr">
        <is>
          <t>—</t>
        </is>
      </c>
      <c r="Q27" s="2" t="inlineStr">
        <is>
          <t>—</t>
        </is>
      </c>
      <c r="R27" s="2" t="inlineStr">
        <is>
          <t>—</t>
        </is>
      </c>
      <c r="S27" s="2" t="inlineStr">
        <is>
          <t>Yes</t>
        </is>
      </c>
      <c r="T27" s="2" t="inlineStr">
        <is>
          <t>Pass</t>
        </is>
      </c>
      <c r="U27" s="2" t="inlineStr"/>
    </row>
    <row r="28">
      <c r="A28" s="2" t="n">
        <v>24</v>
      </c>
      <c r="B28" s="2" t="inlineStr">
        <is>
          <t>Tangen Residences</t>
        </is>
      </c>
      <c r="C28" s="2" t="inlineStr">
        <is>
          <t>Pass</t>
        </is>
      </c>
      <c r="D28" s="2" t="inlineStr">
        <is>
          <t>—</t>
        </is>
      </c>
      <c r="E28" s="2" t="inlineStr">
        <is>
          <t>—</t>
        </is>
      </c>
      <c r="F28" s="2" t="inlineStr">
        <is>
          <t>—</t>
        </is>
      </c>
      <c r="G28" s="2" t="inlineStr">
        <is>
          <t>—</t>
        </is>
      </c>
      <c r="H28" s="2" t="inlineStr">
        <is>
          <t>PASS</t>
        </is>
      </c>
      <c r="I28" s="2" t="inlineStr">
        <is>
          <t>PASS</t>
        </is>
      </c>
      <c r="J28" s="2" t="inlineStr">
        <is>
          <t>PASS</t>
        </is>
      </c>
      <c r="K28" s="2" t="inlineStr">
        <is>
          <t>PASS</t>
        </is>
      </c>
      <c r="L28" s="2" t="inlineStr">
        <is>
          <t>PASS</t>
        </is>
      </c>
      <c r="M28" s="2" t="inlineStr">
        <is>
          <t>PASS</t>
        </is>
      </c>
      <c r="N28" s="2" t="inlineStr">
        <is>
          <t>PASS</t>
        </is>
      </c>
      <c r="O28" s="2" t="inlineStr">
        <is>
          <t>PASS</t>
        </is>
      </c>
      <c r="P28" s="2" t="inlineStr">
        <is>
          <t>—</t>
        </is>
      </c>
      <c r="Q28" s="2" t="inlineStr">
        <is>
          <t>—</t>
        </is>
      </c>
      <c r="R28" s="2" t="inlineStr">
        <is>
          <t>—</t>
        </is>
      </c>
      <c r="S28" s="2" t="inlineStr">
        <is>
          <t>Yes</t>
        </is>
      </c>
      <c r="T28" s="2" t="inlineStr">
        <is>
          <t>Pass</t>
        </is>
      </c>
      <c r="U28" s="2" t="inlineStr"/>
    </row>
    <row r="29">
      <c r="A29" s="2" t="n">
        <v>25</v>
      </c>
      <c r="B29" s="2" t="inlineStr">
        <is>
          <t>Miranda Hill @ north kiara by BRDB</t>
        </is>
      </c>
      <c r="C29" s="2" t="inlineStr">
        <is>
          <t>Pass</t>
        </is>
      </c>
      <c r="D29" s="2" t="inlineStr">
        <is>
          <t>—</t>
        </is>
      </c>
      <c r="E29" s="2" t="inlineStr">
        <is>
          <t>—</t>
        </is>
      </c>
      <c r="F29" s="2" t="inlineStr">
        <is>
          <t>—</t>
        </is>
      </c>
      <c r="G29" s="2" t="inlineStr">
        <is>
          <t>—</t>
        </is>
      </c>
      <c r="H29" s="2" t="inlineStr">
        <is>
          <t>PASS</t>
        </is>
      </c>
      <c r="I29" s="2" t="inlineStr">
        <is>
          <t>PASS</t>
        </is>
      </c>
      <c r="J29" s="2" t="inlineStr">
        <is>
          <t>PASS</t>
        </is>
      </c>
      <c r="K29" s="2" t="inlineStr">
        <is>
          <t>—</t>
        </is>
      </c>
      <c r="L29" s="2" t="inlineStr">
        <is>
          <t>PASS</t>
        </is>
      </c>
      <c r="M29" s="2" t="inlineStr">
        <is>
          <t>PASS</t>
        </is>
      </c>
      <c r="N29" s="2" t="inlineStr">
        <is>
          <t>—</t>
        </is>
      </c>
      <c r="O29" s="2" t="inlineStr">
        <is>
          <t>PASS</t>
        </is>
      </c>
      <c r="P29" s="2" t="inlineStr">
        <is>
          <t>—</t>
        </is>
      </c>
      <c r="Q29" s="2" t="inlineStr">
        <is>
          <t>—</t>
        </is>
      </c>
      <c r="R29" s="2" t="inlineStr">
        <is>
          <t>—</t>
        </is>
      </c>
      <c r="S29" s="2" t="inlineStr">
        <is>
          <t>Yes</t>
        </is>
      </c>
      <c r="T29" s="2" t="inlineStr">
        <is>
          <t>Pass</t>
        </is>
      </c>
      <c r="U29" s="2" t="inlineStr">
        <is>
          <t>Total Units: core value matches ("552 units"); the Excel's bracketed or extra wording omitted</t>
        </is>
      </c>
    </row>
    <row r="30">
      <c r="A30" s="2" t="n">
        <v>26</v>
      </c>
      <c r="B30" s="2" t="inlineStr">
        <is>
          <t>Alstonia Hilltop Homes</t>
        </is>
      </c>
      <c r="C30" s="2" t="inlineStr">
        <is>
          <t>Pass</t>
        </is>
      </c>
      <c r="D30" s="2" t="inlineStr">
        <is>
          <t>—</t>
        </is>
      </c>
      <c r="E30" s="2" t="inlineStr">
        <is>
          <t>—</t>
        </is>
      </c>
      <c r="F30" s="2" t="inlineStr">
        <is>
          <t>—</t>
        </is>
      </c>
      <c r="G30" s="2" t="inlineStr">
        <is>
          <t>—</t>
        </is>
      </c>
      <c r="H30" s="2" t="inlineStr">
        <is>
          <t>PASS</t>
        </is>
      </c>
      <c r="I30" s="2" t="inlineStr">
        <is>
          <t>PASS</t>
        </is>
      </c>
      <c r="J30" s="2" t="inlineStr">
        <is>
          <t>PASS</t>
        </is>
      </c>
      <c r="K30" s="2" t="inlineStr">
        <is>
          <t>—</t>
        </is>
      </c>
      <c r="L30" s="2" t="inlineStr">
        <is>
          <t>PASS</t>
        </is>
      </c>
      <c r="M30" s="2" t="inlineStr">
        <is>
          <t>PASS</t>
        </is>
      </c>
      <c r="N30" s="2" t="inlineStr">
        <is>
          <t>—</t>
        </is>
      </c>
      <c r="O30" s="2" t="inlineStr">
        <is>
          <t>PASS</t>
        </is>
      </c>
      <c r="P30" s="2" t="inlineStr">
        <is>
          <t>—</t>
        </is>
      </c>
      <c r="Q30" s="2" t="inlineStr">
        <is>
          <t>—</t>
        </is>
      </c>
      <c r="R30" s="2" t="inlineStr">
        <is>
          <t>—</t>
        </is>
      </c>
      <c r="S30" s="2" t="inlineStr">
        <is>
          <t>Yes</t>
        </is>
      </c>
      <c r="T30" s="2" t="inlineStr">
        <is>
          <t>Pass</t>
        </is>
      </c>
      <c r="U30" s="2" t="inlineStr">
        <is>
          <t>Developer: core value matches ("MRCB"); the Excel's bracketed or extra wording omitted | Total Units: Manual: the bot gives 245 units (214 condominium, 31 villa), the Excel's total and both splits. The scorer wanted the '24-storey' and list numbering.</t>
        </is>
      </c>
    </row>
    <row r="31">
      <c r="A31" s="2" t="n">
        <v>27</v>
      </c>
      <c r="B31" s="2" t="inlineStr">
        <is>
          <t>Binastra Cochrane</t>
        </is>
      </c>
      <c r="C31" s="2" t="inlineStr">
        <is>
          <t>Pass</t>
        </is>
      </c>
      <c r="D31" s="2" t="inlineStr">
        <is>
          <t>—</t>
        </is>
      </c>
      <c r="E31" s="2" t="inlineStr">
        <is>
          <t>—</t>
        </is>
      </c>
      <c r="F31" s="2" t="inlineStr">
        <is>
          <t>—</t>
        </is>
      </c>
      <c r="G31" s="2" t="inlineStr">
        <is>
          <t>—</t>
        </is>
      </c>
      <c r="H31" s="2" t="inlineStr">
        <is>
          <t>PASS</t>
        </is>
      </c>
      <c r="I31" s="2" t="inlineStr">
        <is>
          <t>PASS</t>
        </is>
      </c>
      <c r="J31" s="2" t="inlineStr">
        <is>
          <t>—</t>
        </is>
      </c>
      <c r="K31" s="2" t="inlineStr">
        <is>
          <t>—</t>
        </is>
      </c>
      <c r="L31" s="2" t="inlineStr">
        <is>
          <t>PASS</t>
        </is>
      </c>
      <c r="M31" s="2" t="inlineStr">
        <is>
          <t>PASS</t>
        </is>
      </c>
      <c r="N31" s="2" t="inlineStr">
        <is>
          <t>—</t>
        </is>
      </c>
      <c r="O31" s="2" t="inlineStr">
        <is>
          <t>—</t>
        </is>
      </c>
      <c r="P31" s="2" t="inlineStr">
        <is>
          <t>—</t>
        </is>
      </c>
      <c r="Q31" s="2" t="inlineStr">
        <is>
          <t>—</t>
        </is>
      </c>
      <c r="R31" s="2" t="inlineStr">
        <is>
          <t>—</t>
        </is>
      </c>
      <c r="S31" s="2" t="inlineStr">
        <is>
          <t>Yes</t>
        </is>
      </c>
      <c r="T31" s="2" t="inlineStr">
        <is>
          <t>Pass</t>
        </is>
      </c>
      <c r="U31" s="2" t="inlineStr"/>
    </row>
    <row r="32">
      <c r="A32" s="2" t="n">
        <v>28</v>
      </c>
      <c r="B32" s="2" t="inlineStr">
        <is>
          <t>Eden BRDB, Taman Duta</t>
        </is>
      </c>
      <c r="C32" s="2" t="inlineStr">
        <is>
          <t>Pass</t>
        </is>
      </c>
      <c r="D32" s="2" t="inlineStr">
        <is>
          <t>PASS</t>
        </is>
      </c>
      <c r="E32" s="2" t="inlineStr">
        <is>
          <t>PASS</t>
        </is>
      </c>
      <c r="F32" s="2" t="inlineStr">
        <is>
          <t>PASS</t>
        </is>
      </c>
      <c r="G32" s="2" t="inlineStr">
        <is>
          <t>PASS</t>
        </is>
      </c>
      <c r="H32" s="2" t="inlineStr">
        <is>
          <t>PASS</t>
        </is>
      </c>
      <c r="I32" s="2" t="inlineStr">
        <is>
          <t>PASS</t>
        </is>
      </c>
      <c r="J32" s="2" t="inlineStr">
        <is>
          <t>—</t>
        </is>
      </c>
      <c r="K32" s="2" t="inlineStr">
        <is>
          <t>PASS</t>
        </is>
      </c>
      <c r="L32" s="2" t="inlineStr">
        <is>
          <t>PASS</t>
        </is>
      </c>
      <c r="M32" s="2" t="inlineStr">
        <is>
          <t>PASS</t>
        </is>
      </c>
      <c r="N32" s="2" t="inlineStr">
        <is>
          <t>PASS</t>
        </is>
      </c>
      <c r="O32" s="2" t="inlineStr">
        <is>
          <t>PASS</t>
        </is>
      </c>
      <c r="P32" s="2" t="inlineStr">
        <is>
          <t>—</t>
        </is>
      </c>
      <c r="Q32" s="2" t="inlineStr">
        <is>
          <t>—</t>
        </is>
      </c>
      <c r="R32" s="2" t="inlineStr">
        <is>
          <t>—</t>
        </is>
      </c>
      <c r="S32" s="2" t="inlineStr">
        <is>
          <t>Yes</t>
        </is>
      </c>
      <c r="T32" s="2" t="inlineStr">
        <is>
          <t>Pass</t>
        </is>
      </c>
      <c r="U32" s="2" t="inlineStr"/>
    </row>
    <row r="33">
      <c r="A33" s="2" t="n">
        <v>29</v>
      </c>
      <c r="B33" s="2" t="inlineStr">
        <is>
          <t>Majestic @ Kiara Reserve</t>
        </is>
      </c>
      <c r="C33" s="2" t="inlineStr">
        <is>
          <t>Pass</t>
        </is>
      </c>
      <c r="D33" s="2" t="inlineStr">
        <is>
          <t>—</t>
        </is>
      </c>
      <c r="E33" s="2" t="inlineStr">
        <is>
          <t>—</t>
        </is>
      </c>
      <c r="F33" s="2" t="inlineStr">
        <is>
          <t>—</t>
        </is>
      </c>
      <c r="G33" s="2" t="inlineStr">
        <is>
          <t>—</t>
        </is>
      </c>
      <c r="H33" s="2" t="inlineStr">
        <is>
          <t>—</t>
        </is>
      </c>
      <c r="I33" s="2" t="inlineStr">
        <is>
          <t>PASS</t>
        </is>
      </c>
      <c r="J33" s="2" t="inlineStr">
        <is>
          <t>PASS</t>
        </is>
      </c>
      <c r="K33" s="2" t="inlineStr">
        <is>
          <t>PASS</t>
        </is>
      </c>
      <c r="L33" s="2" t="inlineStr">
        <is>
          <t>PASS</t>
        </is>
      </c>
      <c r="M33" s="2" t="inlineStr">
        <is>
          <t>—</t>
        </is>
      </c>
      <c r="N33" s="2" t="inlineStr">
        <is>
          <t>—</t>
        </is>
      </c>
      <c r="O33" s="2" t="inlineStr">
        <is>
          <t>PASS</t>
        </is>
      </c>
      <c r="P33" s="2" t="inlineStr">
        <is>
          <t>—</t>
        </is>
      </c>
      <c r="Q33" s="2" t="inlineStr">
        <is>
          <t>—</t>
        </is>
      </c>
      <c r="R33" s="2" t="inlineStr">
        <is>
          <t>—</t>
        </is>
      </c>
      <c r="S33" s="2" t="inlineStr">
        <is>
          <t>Yes</t>
        </is>
      </c>
      <c r="T33" s="2" t="inlineStr">
        <is>
          <t>Needs ruling</t>
        </is>
      </c>
      <c r="U33" s="2" t="inlineStr"/>
    </row>
    <row r="34">
      <c r="A34" s="2" t="n">
        <v>30</v>
      </c>
      <c r="B34" s="2" t="inlineStr">
        <is>
          <t>St. Regis Residences Kuala Lumpur</t>
        </is>
      </c>
      <c r="C34" s="2" t="inlineStr">
        <is>
          <t>Pass</t>
        </is>
      </c>
      <c r="D34" s="2" t="inlineStr">
        <is>
          <t>—</t>
        </is>
      </c>
      <c r="E34" s="2" t="inlineStr">
        <is>
          <t>—</t>
        </is>
      </c>
      <c r="F34" s="2" t="inlineStr">
        <is>
          <t>—</t>
        </is>
      </c>
      <c r="G34" s="2" t="inlineStr">
        <is>
          <t>—</t>
        </is>
      </c>
      <c r="H34" s="2" t="inlineStr">
        <is>
          <t>—</t>
        </is>
      </c>
      <c r="I34" s="2" t="inlineStr">
        <is>
          <t>PASS</t>
        </is>
      </c>
      <c r="J34" s="2" t="inlineStr">
        <is>
          <t>—</t>
        </is>
      </c>
      <c r="K34" s="2" t="inlineStr">
        <is>
          <t>—</t>
        </is>
      </c>
      <c r="L34" s="2" t="inlineStr">
        <is>
          <t>PASS</t>
        </is>
      </c>
      <c r="M34" s="2" t="inlineStr">
        <is>
          <t>—</t>
        </is>
      </c>
      <c r="N34" s="2" t="inlineStr">
        <is>
          <t>PASS</t>
        </is>
      </c>
      <c r="O34" s="2" t="inlineStr">
        <is>
          <t>PASS</t>
        </is>
      </c>
      <c r="P34" s="2" t="inlineStr">
        <is>
          <t>—</t>
        </is>
      </c>
      <c r="Q34" s="2" t="inlineStr">
        <is>
          <t>—</t>
        </is>
      </c>
      <c r="R34" s="2" t="inlineStr">
        <is>
          <t>—</t>
        </is>
      </c>
      <c r="S34" s="2" t="inlineStr">
        <is>
          <t>Yes</t>
        </is>
      </c>
      <c r="T34" s="2" t="inlineStr">
        <is>
          <t>Needs ruling</t>
        </is>
      </c>
      <c r="U34" s="2" t="inlineStr">
        <is>
          <t>Developer: core value matches ("UOA Development Bhd"); the Excel's bracketed or extra wording omitted</t>
        </is>
      </c>
    </row>
    <row r="35">
      <c r="A35" s="2" t="n">
        <v>31</v>
      </c>
      <c r="B35" s="2" t="inlineStr">
        <is>
          <t>Aster Hill Sri Petaling</t>
        </is>
      </c>
      <c r="C35" s="2" t="inlineStr">
        <is>
          <t>Pass</t>
        </is>
      </c>
      <c r="D35" s="2" t="inlineStr">
        <is>
          <t>—</t>
        </is>
      </c>
      <c r="E35" s="2" t="inlineStr">
        <is>
          <t>—</t>
        </is>
      </c>
      <c r="F35" s="2" t="inlineStr">
        <is>
          <t>—</t>
        </is>
      </c>
      <c r="G35" s="2" t="inlineStr">
        <is>
          <t>—</t>
        </is>
      </c>
      <c r="H35" s="2" t="inlineStr">
        <is>
          <t>PASS</t>
        </is>
      </c>
      <c r="I35" s="2" t="inlineStr">
        <is>
          <t>PASS</t>
        </is>
      </c>
      <c r="J35" s="2" t="inlineStr">
        <is>
          <t>PASS</t>
        </is>
      </c>
      <c r="K35" s="2" t="inlineStr">
        <is>
          <t>PASS</t>
        </is>
      </c>
      <c r="L35" s="2" t="inlineStr">
        <is>
          <t>PASS</t>
        </is>
      </c>
      <c r="M35" s="2" t="inlineStr">
        <is>
          <t>PASS</t>
        </is>
      </c>
      <c r="N35" s="2" t="inlineStr">
        <is>
          <t>—</t>
        </is>
      </c>
      <c r="O35" s="2" t="inlineStr">
        <is>
          <t>PASS</t>
        </is>
      </c>
      <c r="P35" s="2" t="inlineStr">
        <is>
          <t>—</t>
        </is>
      </c>
      <c r="Q35" s="2" t="inlineStr">
        <is>
          <t>—</t>
        </is>
      </c>
      <c r="R35" s="2" t="inlineStr">
        <is>
          <t>—</t>
        </is>
      </c>
      <c r="S35" s="2" t="inlineStr">
        <is>
          <t>Yes</t>
        </is>
      </c>
      <c r="T35" s="2" t="inlineStr">
        <is>
          <t>Needs ruling</t>
        </is>
      </c>
      <c r="U35" s="2" t="inlineStr"/>
    </row>
    <row r="36">
      <c r="A36" s="2" t="n">
        <v>32</v>
      </c>
      <c r="B36" s="2" t="inlineStr">
        <is>
          <t>Exsim Project</t>
        </is>
      </c>
      <c r="C36" s="2" t="inlineStr">
        <is>
          <t>Pass</t>
        </is>
      </c>
      <c r="D36" s="2" t="inlineStr">
        <is>
          <t>—</t>
        </is>
      </c>
      <c r="E36" s="2" t="inlineStr">
        <is>
          <t>—</t>
        </is>
      </c>
      <c r="F36" s="2" t="inlineStr">
        <is>
          <t>—</t>
        </is>
      </c>
      <c r="G36" s="2" t="inlineStr">
        <is>
          <t>—</t>
        </is>
      </c>
      <c r="H36" s="2" t="inlineStr">
        <is>
          <t>—</t>
        </is>
      </c>
      <c r="I36" s="2" t="inlineStr">
        <is>
          <t>HELD</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No</t>
        </is>
      </c>
      <c r="T36" s="2" t="inlineStr">
        <is>
          <t>Pass</t>
        </is>
      </c>
      <c r="U36" s="2" t="inlineStr"/>
    </row>
    <row r="37">
      <c r="A37" s="2" t="n">
        <v>33</v>
      </c>
      <c r="B37" s="2" t="inlineStr">
        <is>
          <t>Kensho @ Taman Desa</t>
        </is>
      </c>
      <c r="C37" s="2" t="inlineStr">
        <is>
          <t>Pass</t>
        </is>
      </c>
      <c r="D37" s="2" t="inlineStr">
        <is>
          <t>—</t>
        </is>
      </c>
      <c r="E37" s="2" t="inlineStr">
        <is>
          <t>—</t>
        </is>
      </c>
      <c r="F37" s="2" t="inlineStr">
        <is>
          <t>—</t>
        </is>
      </c>
      <c r="G37" s="2" t="inlineStr">
        <is>
          <t>—</t>
        </is>
      </c>
      <c r="H37" s="2" t="inlineStr">
        <is>
          <t>PASS</t>
        </is>
      </c>
      <c r="I37" s="2" t="inlineStr">
        <is>
          <t>PASS</t>
        </is>
      </c>
      <c r="J37" s="2" t="inlineStr">
        <is>
          <t>PASS</t>
        </is>
      </c>
      <c r="K37" s="2" t="inlineStr">
        <is>
          <t>PASS</t>
        </is>
      </c>
      <c r="L37" s="2" t="inlineStr">
        <is>
          <t>PASS</t>
        </is>
      </c>
      <c r="M37" s="2" t="inlineStr">
        <is>
          <t>—</t>
        </is>
      </c>
      <c r="N37" s="2" t="inlineStr">
        <is>
          <t>—</t>
        </is>
      </c>
      <c r="O37" s="2" t="inlineStr">
        <is>
          <t>PASS</t>
        </is>
      </c>
      <c r="P37" s="2" t="inlineStr">
        <is>
          <t>—</t>
        </is>
      </c>
      <c r="Q37" s="2" t="inlineStr">
        <is>
          <t>—</t>
        </is>
      </c>
      <c r="R37" s="2" t="inlineStr">
        <is>
          <t>—</t>
        </is>
      </c>
      <c r="S37" s="2" t="inlineStr">
        <is>
          <t>Yes</t>
        </is>
      </c>
      <c r="T37" s="2" t="inlineStr">
        <is>
          <t>Pass</t>
        </is>
      </c>
      <c r="U37" s="2" t="inlineStr"/>
    </row>
    <row r="38">
      <c r="A38" s="2" t="n">
        <v>34</v>
      </c>
      <c r="B38" s="2" t="inlineStr">
        <is>
          <t>Aetas Taman Desa</t>
        </is>
      </c>
      <c r="C38" s="2" t="inlineStr">
        <is>
          <t>Pass</t>
        </is>
      </c>
      <c r="D38" s="2" t="inlineStr">
        <is>
          <t>—</t>
        </is>
      </c>
      <c r="E38" s="2" t="inlineStr">
        <is>
          <t>—</t>
        </is>
      </c>
      <c r="F38" s="2" t="inlineStr">
        <is>
          <t>—</t>
        </is>
      </c>
      <c r="G38" s="2" t="inlineStr">
        <is>
          <t>—</t>
        </is>
      </c>
      <c r="H38" s="2" t="inlineStr">
        <is>
          <t>PASS</t>
        </is>
      </c>
      <c r="I38" s="2" t="inlineStr">
        <is>
          <t>PASS</t>
        </is>
      </c>
      <c r="J38" s="2" t="inlineStr">
        <is>
          <t>—</t>
        </is>
      </c>
      <c r="K38" s="2" t="inlineStr">
        <is>
          <t>PASS</t>
        </is>
      </c>
      <c r="L38" s="2" t="inlineStr">
        <is>
          <t>PASS</t>
        </is>
      </c>
      <c r="M38" s="2" t="inlineStr">
        <is>
          <t>PASS</t>
        </is>
      </c>
      <c r="N38" s="2" t="inlineStr">
        <is>
          <t>PASS</t>
        </is>
      </c>
      <c r="O38" s="2" t="inlineStr">
        <is>
          <t>PASS</t>
        </is>
      </c>
      <c r="P38" s="2" t="inlineStr">
        <is>
          <t>—</t>
        </is>
      </c>
      <c r="Q38" s="2" t="inlineStr">
        <is>
          <t>—</t>
        </is>
      </c>
      <c r="R38" s="2" t="inlineStr">
        <is>
          <t>—</t>
        </is>
      </c>
      <c r="S38" s="2" t="inlineStr">
        <is>
          <t>Yes</t>
        </is>
      </c>
      <c r="T38" s="2" t="inlineStr">
        <is>
          <t>Pass</t>
        </is>
      </c>
      <c r="U38" s="2" t="inlineStr"/>
    </row>
    <row r="39">
      <c r="A39" s="2" t="n">
        <v>35</v>
      </c>
      <c r="B39" s="2" t="inlineStr">
        <is>
          <t>Southpoint Residences (IGB )</t>
        </is>
      </c>
      <c r="C39" s="2" t="inlineStr">
        <is>
          <t>Pass</t>
        </is>
      </c>
      <c r="D39" s="2" t="inlineStr">
        <is>
          <t>PASS</t>
        </is>
      </c>
      <c r="E39" s="2" t="inlineStr">
        <is>
          <t>PASS</t>
        </is>
      </c>
      <c r="F39" s="2" t="inlineStr">
        <is>
          <t>—</t>
        </is>
      </c>
      <c r="G39" s="2" t="inlineStr">
        <is>
          <t>—</t>
        </is>
      </c>
      <c r="H39" s="2" t="inlineStr">
        <is>
          <t>—</t>
        </is>
      </c>
      <c r="I39" s="2" t="inlineStr">
        <is>
          <t>PASS</t>
        </is>
      </c>
      <c r="J39" s="2" t="inlineStr">
        <is>
          <t>—</t>
        </is>
      </c>
      <c r="K39" s="2" t="inlineStr">
        <is>
          <t>PASS</t>
        </is>
      </c>
      <c r="L39" s="2" t="inlineStr">
        <is>
          <t>PASS</t>
        </is>
      </c>
      <c r="M39" s="2" t="inlineStr">
        <is>
          <t>PASS</t>
        </is>
      </c>
      <c r="N39" s="2" t="inlineStr">
        <is>
          <t>—</t>
        </is>
      </c>
      <c r="O39" s="2" t="inlineStr">
        <is>
          <t>—</t>
        </is>
      </c>
      <c r="P39" s="2" t="inlineStr">
        <is>
          <t>—</t>
        </is>
      </c>
      <c r="Q39" s="2" t="inlineStr">
        <is>
          <t>—</t>
        </is>
      </c>
      <c r="R39" s="2" t="inlineStr">
        <is>
          <t>—</t>
        </is>
      </c>
      <c r="S39" s="2" t="inlineStr">
        <is>
          <t>Yes</t>
        </is>
      </c>
      <c r="T39" s="2" t="inlineStr">
        <is>
          <t>Pass</t>
        </is>
      </c>
      <c r="U39" s="2" t="inlineStr"/>
    </row>
    <row r="40">
      <c r="A40" s="2" t="n">
        <v>36</v>
      </c>
      <c r="B40" s="2" t="inlineStr">
        <is>
          <t>Park Green at Pavilion Bukit Jalil</t>
        </is>
      </c>
      <c r="C40" s="2" t="inlineStr">
        <is>
          <t>Pass</t>
        </is>
      </c>
      <c r="D40" s="2" t="inlineStr">
        <is>
          <t>—</t>
        </is>
      </c>
      <c r="E40" s="2" t="inlineStr">
        <is>
          <t>—</t>
        </is>
      </c>
      <c r="F40" s="2" t="inlineStr">
        <is>
          <t>—</t>
        </is>
      </c>
      <c r="G40" s="2" t="inlineStr">
        <is>
          <t>—</t>
        </is>
      </c>
      <c r="H40" s="2" t="inlineStr">
        <is>
          <t>PASS</t>
        </is>
      </c>
      <c r="I40" s="2" t="inlineStr">
        <is>
          <t>PASS</t>
        </is>
      </c>
      <c r="J40" s="2" t="inlineStr">
        <is>
          <t>—</t>
        </is>
      </c>
      <c r="K40" s="2" t="inlineStr">
        <is>
          <t>PASS</t>
        </is>
      </c>
      <c r="L40" s="2" t="inlineStr">
        <is>
          <t>PASS</t>
        </is>
      </c>
      <c r="M40" s="2" t="inlineStr">
        <is>
          <t>PASS</t>
        </is>
      </c>
      <c r="N40" s="2" t="inlineStr">
        <is>
          <t>PASS</t>
        </is>
      </c>
      <c r="O40" s="2" t="inlineStr">
        <is>
          <t>—</t>
        </is>
      </c>
      <c r="P40" s="2" t="inlineStr">
        <is>
          <t>—</t>
        </is>
      </c>
      <c r="Q40" s="2" t="inlineStr">
        <is>
          <t>—</t>
        </is>
      </c>
      <c r="R40" s="2" t="inlineStr">
        <is>
          <t>—</t>
        </is>
      </c>
      <c r="S40" s="2" t="inlineStr">
        <is>
          <t>Yes</t>
        </is>
      </c>
      <c r="T40" s="2" t="inlineStr">
        <is>
          <t>Pass</t>
        </is>
      </c>
      <c r="U40" s="2" t="inlineStr"/>
    </row>
    <row r="41">
      <c r="A41" s="2" t="n">
        <v>37</v>
      </c>
      <c r="B41" s="2" t="inlineStr">
        <is>
          <t>OAKA Residences, Bukit Jalil</t>
        </is>
      </c>
      <c r="C41" s="2" t="inlineStr">
        <is>
          <t>Pass</t>
        </is>
      </c>
      <c r="D41" s="2" t="inlineStr">
        <is>
          <t>—</t>
        </is>
      </c>
      <c r="E41" s="2" t="inlineStr">
        <is>
          <t>—</t>
        </is>
      </c>
      <c r="F41" s="2" t="inlineStr">
        <is>
          <t>—</t>
        </is>
      </c>
      <c r="G41" s="2" t="inlineStr">
        <is>
          <t>—</t>
        </is>
      </c>
      <c r="H41" s="2" t="inlineStr">
        <is>
          <t>PASS</t>
        </is>
      </c>
      <c r="I41" s="2" t="inlineStr">
        <is>
          <t>PASS</t>
        </is>
      </c>
      <c r="J41" s="2" t="inlineStr">
        <is>
          <t>PASS</t>
        </is>
      </c>
      <c r="K41" s="2" t="inlineStr">
        <is>
          <t>PASS</t>
        </is>
      </c>
      <c r="L41" s="2" t="inlineStr">
        <is>
          <t>PASS</t>
        </is>
      </c>
      <c r="M41" s="2" t="inlineStr">
        <is>
          <t>PASS</t>
        </is>
      </c>
      <c r="N41" s="2" t="inlineStr">
        <is>
          <t>PASS</t>
        </is>
      </c>
      <c r="O41" s="2" t="inlineStr">
        <is>
          <t>PASS</t>
        </is>
      </c>
      <c r="P41" s="2" t="inlineStr">
        <is>
          <t>—</t>
        </is>
      </c>
      <c r="Q41" s="2" t="inlineStr">
        <is>
          <t>—</t>
        </is>
      </c>
      <c r="R41" s="2" t="inlineStr">
        <is>
          <t>—</t>
        </is>
      </c>
      <c r="S41" s="2" t="inlineStr">
        <is>
          <t>Yes</t>
        </is>
      </c>
      <c r="T41" s="2" t="inlineStr">
        <is>
          <t>Pass</t>
        </is>
      </c>
      <c r="U41" s="2" t="inlineStr"/>
    </row>
    <row r="42">
      <c r="A42" s="2" t="n">
        <v>38</v>
      </c>
      <c r="B42" s="2" t="inlineStr">
        <is>
          <t>Senja The Jewel Collection</t>
        </is>
      </c>
      <c r="C42" s="2" t="inlineStr">
        <is>
          <t>Pass</t>
        </is>
      </c>
      <c r="D42" s="2" t="inlineStr">
        <is>
          <t>—</t>
        </is>
      </c>
      <c r="E42" s="2" t="inlineStr">
        <is>
          <t>—</t>
        </is>
      </c>
      <c r="F42" s="2" t="inlineStr">
        <is>
          <t>—</t>
        </is>
      </c>
      <c r="G42" s="2" t="inlineStr">
        <is>
          <t>—</t>
        </is>
      </c>
      <c r="H42" s="2" t="inlineStr">
        <is>
          <t>PASS</t>
        </is>
      </c>
      <c r="I42" s="2" t="inlineStr">
        <is>
          <t>PASS</t>
        </is>
      </c>
      <c r="J42" s="2" t="inlineStr">
        <is>
          <t>PASS</t>
        </is>
      </c>
      <c r="K42" s="2" t="inlineStr">
        <is>
          <t>—</t>
        </is>
      </c>
      <c r="L42" s="2" t="inlineStr">
        <is>
          <t>PASS</t>
        </is>
      </c>
      <c r="M42" s="2" t="inlineStr">
        <is>
          <t>PASS</t>
        </is>
      </c>
      <c r="N42" s="2" t="inlineStr">
        <is>
          <t>—</t>
        </is>
      </c>
      <c r="O42" s="2" t="inlineStr">
        <is>
          <t>PASS</t>
        </is>
      </c>
      <c r="P42" s="2" t="inlineStr">
        <is>
          <t>—</t>
        </is>
      </c>
      <c r="Q42" s="2" t="inlineStr">
        <is>
          <t>—</t>
        </is>
      </c>
      <c r="R42" s="2" t="inlineStr">
        <is>
          <t>—</t>
        </is>
      </c>
      <c r="S42" s="2" t="inlineStr">
        <is>
          <t>Yes</t>
        </is>
      </c>
      <c r="T42" s="2" t="inlineStr">
        <is>
          <t>Needs ruling</t>
        </is>
      </c>
      <c r="U42" s="2" t="inlineStr"/>
    </row>
    <row r="43">
      <c r="A43" s="2" t="n">
        <v>39</v>
      </c>
      <c r="B43" s="2" t="inlineStr">
        <is>
          <t>18 Madge Uthant</t>
        </is>
      </c>
      <c r="C43" s="2" t="inlineStr">
        <is>
          <t>Pass</t>
        </is>
      </c>
      <c r="D43" s="2" t="inlineStr">
        <is>
          <t>—</t>
        </is>
      </c>
      <c r="E43" s="2" t="inlineStr">
        <is>
          <t>—</t>
        </is>
      </c>
      <c r="F43" s="2" t="inlineStr">
        <is>
          <t>—</t>
        </is>
      </c>
      <c r="G43" s="2" t="inlineStr">
        <is>
          <t>—</t>
        </is>
      </c>
      <c r="H43" s="2" t="inlineStr">
        <is>
          <t>PASS</t>
        </is>
      </c>
      <c r="I43" s="2" t="inlineStr">
        <is>
          <t>PASS</t>
        </is>
      </c>
      <c r="J43" s="2" t="inlineStr">
        <is>
          <t>PASS</t>
        </is>
      </c>
      <c r="K43" s="2" t="inlineStr">
        <is>
          <t>PASS</t>
        </is>
      </c>
      <c r="L43" s="2" t="inlineStr">
        <is>
          <t>PASS</t>
        </is>
      </c>
      <c r="M43" s="2" t="inlineStr">
        <is>
          <t>PASS</t>
        </is>
      </c>
      <c r="N43" s="2" t="inlineStr">
        <is>
          <t>PASS</t>
        </is>
      </c>
      <c r="O43" s="2" t="inlineStr">
        <is>
          <t>PASS</t>
        </is>
      </c>
      <c r="P43" s="2" t="inlineStr">
        <is>
          <t>—</t>
        </is>
      </c>
      <c r="Q43" s="2" t="inlineStr">
        <is>
          <t>—</t>
        </is>
      </c>
      <c r="R43" s="2" t="inlineStr">
        <is>
          <t>—</t>
        </is>
      </c>
      <c r="S43" s="2" t="inlineStr">
        <is>
          <t>Yes</t>
        </is>
      </c>
      <c r="T43" s="2" t="inlineStr">
        <is>
          <t>Needs ruling</t>
        </is>
      </c>
      <c r="U43" s="2" t="inlineStr">
        <is>
          <t>Developer: core value matches ("Chin Hin"); the Excel's bracketed or extra wording omitted</t>
        </is>
      </c>
    </row>
    <row r="44">
      <c r="A44" s="2" t="n">
        <v>40</v>
      </c>
      <c r="B44" s="2" t="inlineStr">
        <is>
          <t>Aria Luxury Residence @ KLCC</t>
        </is>
      </c>
      <c r="C44" s="2" t="inlineStr">
        <is>
          <t>Pass</t>
        </is>
      </c>
      <c r="D44" s="2" t="inlineStr">
        <is>
          <t>—</t>
        </is>
      </c>
      <c r="E44" s="2" t="inlineStr">
        <is>
          <t>—</t>
        </is>
      </c>
      <c r="F44" s="2" t="inlineStr">
        <is>
          <t>—</t>
        </is>
      </c>
      <c r="G44" s="2" t="inlineStr">
        <is>
          <t>—</t>
        </is>
      </c>
      <c r="H44" s="2" t="inlineStr">
        <is>
          <t>PASS</t>
        </is>
      </c>
      <c r="I44" s="2" t="inlineStr">
        <is>
          <t>PASS</t>
        </is>
      </c>
      <c r="J44" s="2" t="inlineStr">
        <is>
          <t>PASS</t>
        </is>
      </c>
      <c r="K44" s="2" t="inlineStr">
        <is>
          <t>PASS</t>
        </is>
      </c>
      <c r="L44" s="2" t="inlineStr">
        <is>
          <t>PASS</t>
        </is>
      </c>
      <c r="M44" s="2" t="inlineStr">
        <is>
          <t>PASS</t>
        </is>
      </c>
      <c r="N44" s="2" t="inlineStr">
        <is>
          <t>—</t>
        </is>
      </c>
      <c r="O44" s="2" t="inlineStr">
        <is>
          <t>—</t>
        </is>
      </c>
      <c r="P44" s="2" t="inlineStr">
        <is>
          <t>—</t>
        </is>
      </c>
      <c r="Q44" s="2" t="inlineStr">
        <is>
          <t>—</t>
        </is>
      </c>
      <c r="R44" s="2" t="inlineStr">
        <is>
          <t>—</t>
        </is>
      </c>
      <c r="S44" s="2" t="inlineStr">
        <is>
          <t>Yes</t>
        </is>
      </c>
      <c r="T44" s="2" t="inlineStr">
        <is>
          <t>Partial</t>
        </is>
      </c>
      <c r="U44" s="2" t="inlineStr"/>
    </row>
    <row r="45">
      <c r="A45" s="2" t="n">
        <v>41</v>
      </c>
      <c r="B45" s="2" t="inlineStr">
        <is>
          <t>AT6 Residensi @ Ampang Tengah</t>
        </is>
      </c>
      <c r="C45" s="2" t="inlineStr">
        <is>
          <t>Pass</t>
        </is>
      </c>
      <c r="D45" s="2" t="inlineStr">
        <is>
          <t>—</t>
        </is>
      </c>
      <c r="E45" s="2" t="inlineStr">
        <is>
          <t>—</t>
        </is>
      </c>
      <c r="F45" s="2" t="inlineStr">
        <is>
          <t>—</t>
        </is>
      </c>
      <c r="G45" s="2" t="inlineStr">
        <is>
          <t>—</t>
        </is>
      </c>
      <c r="H45" s="2" t="inlineStr">
        <is>
          <t>PASS</t>
        </is>
      </c>
      <c r="I45" s="2" t="inlineStr">
        <is>
          <t>PASS</t>
        </is>
      </c>
      <c r="J45" s="2" t="inlineStr">
        <is>
          <t>—</t>
        </is>
      </c>
      <c r="K45" s="2" t="inlineStr">
        <is>
          <t>—</t>
        </is>
      </c>
      <c r="L45" s="2" t="inlineStr">
        <is>
          <t>PASS</t>
        </is>
      </c>
      <c r="M45" s="2" t="inlineStr">
        <is>
          <t>PASS</t>
        </is>
      </c>
      <c r="N45" s="2" t="inlineStr">
        <is>
          <t>—</t>
        </is>
      </c>
      <c r="O45" s="2" t="inlineStr">
        <is>
          <t>PASS</t>
        </is>
      </c>
      <c r="P45" s="2" t="inlineStr">
        <is>
          <t>—</t>
        </is>
      </c>
      <c r="Q45" s="2" t="inlineStr">
        <is>
          <t>—</t>
        </is>
      </c>
      <c r="R45" s="2" t="inlineStr">
        <is>
          <t>—</t>
        </is>
      </c>
      <c r="S45" s="2" t="inlineStr">
        <is>
          <t>Yes</t>
        </is>
      </c>
      <c r="T45" s="2" t="inlineStr">
        <is>
          <t>Needs ruling</t>
        </is>
      </c>
      <c r="U45" s="2" t="inlineStr"/>
    </row>
    <row r="46">
      <c r="A46" s="2" t="n">
        <v>42</v>
      </c>
      <c r="B46" s="2" t="inlineStr">
        <is>
          <t>Clouthaus KLCC</t>
        </is>
      </c>
      <c r="C46" s="2" t="inlineStr">
        <is>
          <t>Pass</t>
        </is>
      </c>
      <c r="D46" s="2" t="inlineStr">
        <is>
          <t>—</t>
        </is>
      </c>
      <c r="E46" s="2" t="inlineStr">
        <is>
          <t>—</t>
        </is>
      </c>
      <c r="F46" s="2" t="inlineStr">
        <is>
          <t>—</t>
        </is>
      </c>
      <c r="G46" s="2" t="inlineStr">
        <is>
          <t>—</t>
        </is>
      </c>
      <c r="H46" s="2" t="inlineStr">
        <is>
          <t>PASS</t>
        </is>
      </c>
      <c r="I46" s="2" t="inlineStr">
        <is>
          <t>PASS</t>
        </is>
      </c>
      <c r="J46" s="2" t="inlineStr">
        <is>
          <t>PASS</t>
        </is>
      </c>
      <c r="K46" s="2" t="inlineStr">
        <is>
          <t>—</t>
        </is>
      </c>
      <c r="L46" s="2" t="inlineStr">
        <is>
          <t>PASS</t>
        </is>
      </c>
      <c r="M46" s="2" t="inlineStr">
        <is>
          <t>PASS</t>
        </is>
      </c>
      <c r="N46" s="2" t="inlineStr">
        <is>
          <t>PASS</t>
        </is>
      </c>
      <c r="O46" s="2" t="inlineStr">
        <is>
          <t>PASS</t>
        </is>
      </c>
      <c r="P46" s="2" t="inlineStr">
        <is>
          <t>—</t>
        </is>
      </c>
      <c r="Q46" s="2" t="inlineStr">
        <is>
          <t>—</t>
        </is>
      </c>
      <c r="R46" s="2" t="inlineStr">
        <is>
          <t>—</t>
        </is>
      </c>
      <c r="S46" s="2" t="inlineStr">
        <is>
          <t>Yes</t>
        </is>
      </c>
      <c r="T46" s="2" t="inlineStr">
        <is>
          <t>Needs ruling</t>
        </is>
      </c>
      <c r="U46" s="2" t="inlineStr"/>
    </row>
    <row r="47">
      <c r="A47" s="2" t="n">
        <v>43</v>
      </c>
      <c r="B47" s="2" t="inlineStr">
        <is>
          <t>Conlay by E&amp;O</t>
        </is>
      </c>
      <c r="C47" s="2" t="inlineStr">
        <is>
          <t>Pass</t>
        </is>
      </c>
      <c r="D47" s="2" t="inlineStr">
        <is>
          <t>—</t>
        </is>
      </c>
      <c r="E47" s="2" t="inlineStr">
        <is>
          <t>—</t>
        </is>
      </c>
      <c r="F47" s="2" t="inlineStr">
        <is>
          <t>—</t>
        </is>
      </c>
      <c r="G47" s="2" t="inlineStr">
        <is>
          <t>—</t>
        </is>
      </c>
      <c r="H47" s="2" t="inlineStr">
        <is>
          <t>PASS</t>
        </is>
      </c>
      <c r="I47" s="2" t="inlineStr">
        <is>
          <t>PASS</t>
        </is>
      </c>
      <c r="J47" s="2" t="inlineStr">
        <is>
          <t>PASS</t>
        </is>
      </c>
      <c r="K47" s="2" t="inlineStr">
        <is>
          <t>PASS</t>
        </is>
      </c>
      <c r="L47" s="2" t="inlineStr">
        <is>
          <t>PASS</t>
        </is>
      </c>
      <c r="M47" s="2" t="inlineStr">
        <is>
          <t>PASS</t>
        </is>
      </c>
      <c r="N47" s="2" t="inlineStr">
        <is>
          <t>PASS</t>
        </is>
      </c>
      <c r="O47" s="2" t="inlineStr">
        <is>
          <t>PASS</t>
        </is>
      </c>
      <c r="P47" s="2" t="inlineStr">
        <is>
          <t>PASS</t>
        </is>
      </c>
      <c r="Q47" s="2" t="inlineStr">
        <is>
          <t>—</t>
        </is>
      </c>
      <c r="R47" s="2" t="inlineStr">
        <is>
          <t>—</t>
        </is>
      </c>
      <c r="S47" s="2" t="inlineStr">
        <is>
          <t>Yes</t>
        </is>
      </c>
      <c r="T47" s="2" t="inlineStr">
        <is>
          <t>Needs ruling</t>
        </is>
      </c>
      <c r="U47" s="2" t="inlineStr">
        <is>
          <t>Top Reasons Why: Manual: all 7 Excel reasons are given, reworded (Kerry Hill architecture, fully furnished, 220m to Prince Court, 280m to MRT Conlay/TRX, three facings, E&amp;O, 3 min to Pavilion).</t>
        </is>
      </c>
    </row>
    <row r="48">
      <c r="A48" s="2" t="n">
        <v>44</v>
      </c>
      <c r="B48" s="2" t="inlineStr">
        <is>
          <t>Core Residence @ TRX</t>
        </is>
      </c>
      <c r="C48" s="2" t="inlineStr">
        <is>
          <t>Pass</t>
        </is>
      </c>
      <c r="D48" s="2" t="inlineStr">
        <is>
          <t>—</t>
        </is>
      </c>
      <c r="E48" s="2" t="inlineStr">
        <is>
          <t>—</t>
        </is>
      </c>
      <c r="F48" s="2" t="inlineStr">
        <is>
          <t>—</t>
        </is>
      </c>
      <c r="G48" s="2" t="inlineStr">
        <is>
          <t>—</t>
        </is>
      </c>
      <c r="H48" s="2" t="inlineStr">
        <is>
          <t>PASS</t>
        </is>
      </c>
      <c r="I48" s="2" t="inlineStr">
        <is>
          <t>PASS</t>
        </is>
      </c>
      <c r="J48" s="2" t="inlineStr">
        <is>
          <t>PASS</t>
        </is>
      </c>
      <c r="K48" s="2" t="inlineStr">
        <is>
          <t>PASS</t>
        </is>
      </c>
      <c r="L48" s="2" t="inlineStr">
        <is>
          <t>PASS</t>
        </is>
      </c>
      <c r="M48" s="2" t="inlineStr">
        <is>
          <t>PASS</t>
        </is>
      </c>
      <c r="N48" s="2" t="inlineStr">
        <is>
          <t>—</t>
        </is>
      </c>
      <c r="O48" s="2" t="inlineStr">
        <is>
          <t>PASS</t>
        </is>
      </c>
      <c r="P48" s="2" t="inlineStr">
        <is>
          <t>PASS</t>
        </is>
      </c>
      <c r="Q48" s="2" t="inlineStr">
        <is>
          <t>—</t>
        </is>
      </c>
      <c r="R48" s="2" t="inlineStr">
        <is>
          <t>—</t>
        </is>
      </c>
      <c r="S48" s="2" t="inlineStr">
        <is>
          <t>Yes</t>
        </is>
      </c>
      <c r="T48" s="2" t="inlineStr">
        <is>
          <t>Needs ruling</t>
        </is>
      </c>
      <c r="U48" s="2" t="inlineStr"/>
    </row>
    <row r="49">
      <c r="A49" s="2" t="n">
        <v>45</v>
      </c>
      <c r="B49" s="2" t="inlineStr">
        <is>
          <t>Dawn KLCC</t>
        </is>
      </c>
      <c r="C49" s="2" t="inlineStr">
        <is>
          <t>Pass</t>
        </is>
      </c>
      <c r="D49" s="2" t="inlineStr">
        <is>
          <t>—</t>
        </is>
      </c>
      <c r="E49" s="2" t="inlineStr">
        <is>
          <t>—</t>
        </is>
      </c>
      <c r="F49" s="2" t="inlineStr">
        <is>
          <t>—</t>
        </is>
      </c>
      <c r="G49" s="2" t="inlineStr">
        <is>
          <t>—</t>
        </is>
      </c>
      <c r="H49" s="2" t="inlineStr">
        <is>
          <t>PASS</t>
        </is>
      </c>
      <c r="I49" s="2" t="inlineStr">
        <is>
          <t>PASS</t>
        </is>
      </c>
      <c r="J49" s="2" t="inlineStr">
        <is>
          <t>PASS</t>
        </is>
      </c>
      <c r="K49" s="2" t="inlineStr">
        <is>
          <t>—</t>
        </is>
      </c>
      <c r="L49" s="2" t="inlineStr">
        <is>
          <t>PASS</t>
        </is>
      </c>
      <c r="M49" s="2" t="inlineStr">
        <is>
          <t>—</t>
        </is>
      </c>
      <c r="N49" s="2" t="inlineStr">
        <is>
          <t>—</t>
        </is>
      </c>
      <c r="O49" s="2" t="inlineStr">
        <is>
          <t>PASS</t>
        </is>
      </c>
      <c r="P49" s="2" t="inlineStr">
        <is>
          <t>—</t>
        </is>
      </c>
      <c r="Q49" s="2" t="inlineStr">
        <is>
          <t>—</t>
        </is>
      </c>
      <c r="R49" s="2" t="inlineStr">
        <is>
          <t>—</t>
        </is>
      </c>
      <c r="S49" s="2" t="inlineStr">
        <is>
          <t>Yes</t>
        </is>
      </c>
      <c r="T49" s="2" t="inlineStr">
        <is>
          <t>Needs ruling</t>
        </is>
      </c>
      <c r="U49" s="2" t="inlineStr">
        <is>
          <t>Developer: core value matches ("BSG Group"); the Excel's bracketed or extra wording omitted</t>
        </is>
      </c>
    </row>
    <row r="50">
      <c r="A50" s="2" t="n">
        <v>46</v>
      </c>
      <c r="B50" s="2" t="inlineStr">
        <is>
          <t>Eaton Residences by Sutera @ KLCC</t>
        </is>
      </c>
      <c r="C50" s="2" t="inlineStr">
        <is>
          <t>Check</t>
        </is>
      </c>
      <c r="D50" s="2" t="inlineStr">
        <is>
          <t>—</t>
        </is>
      </c>
      <c r="E50" s="2" t="inlineStr">
        <is>
          <t>—</t>
        </is>
      </c>
      <c r="F50" s="2" t="inlineStr">
        <is>
          <t>—</t>
        </is>
      </c>
      <c r="G50" s="2" t="inlineStr">
        <is>
          <t>—</t>
        </is>
      </c>
      <c r="H50" s="2" t="inlineStr">
        <is>
          <t>PASS</t>
        </is>
      </c>
      <c r="I50" s="2" t="inlineStr">
        <is>
          <t>PASS</t>
        </is>
      </c>
      <c r="J50" s="2" t="inlineStr">
        <is>
          <t>—</t>
        </is>
      </c>
      <c r="K50" s="2" t="inlineStr">
        <is>
          <t>PASS</t>
        </is>
      </c>
      <c r="L50" s="2" t="inlineStr">
        <is>
          <t>PASS</t>
        </is>
      </c>
      <c r="M50" s="2" t="inlineStr">
        <is>
          <t>DIFFERS</t>
        </is>
      </c>
      <c r="N50" s="2" t="inlineStr">
        <is>
          <t>—</t>
        </is>
      </c>
      <c r="O50" s="2" t="inlineStr">
        <is>
          <t>PASS</t>
        </is>
      </c>
      <c r="P50" s="2" t="inlineStr">
        <is>
          <t>—</t>
        </is>
      </c>
      <c r="Q50" s="2" t="inlineStr">
        <is>
          <t>—</t>
        </is>
      </c>
      <c r="R50" s="2" t="inlineStr">
        <is>
          <t>—</t>
        </is>
      </c>
      <c r="S50" s="2" t="inlineStr">
        <is>
          <t>Yes</t>
        </is>
      </c>
      <c r="T50" s="2" t="inlineStr">
        <is>
          <t>Needs ruling</t>
        </is>
      </c>
      <c r="U50" s="2" t="inlineStr">
        <is>
          <t>Total Units: Manual: the bot leads with 632 units (an older sales kit: '52 floors, Total Units: 632units') and mentions the Excel's 960 (Tower A 492 + Tower B 468) only as a side note, although the fact sheet was in its context. It did not follow the 'client fact sheet is the authority' rule here.</t>
        </is>
      </c>
    </row>
    <row r="51">
      <c r="A51" s="2" t="n">
        <v>47</v>
      </c>
      <c r="B51" s="2" t="inlineStr">
        <is>
          <t>Platinum Face Suite 2 KLCC</t>
        </is>
      </c>
      <c r="C51" s="2" t="inlineStr">
        <is>
          <t>Pass</t>
        </is>
      </c>
      <c r="D51" s="2" t="inlineStr">
        <is>
          <t>—</t>
        </is>
      </c>
      <c r="E51" s="2" t="inlineStr">
        <is>
          <t>—</t>
        </is>
      </c>
      <c r="F51" s="2" t="inlineStr">
        <is>
          <t>—</t>
        </is>
      </c>
      <c r="G51" s="2" t="inlineStr">
        <is>
          <t>—</t>
        </is>
      </c>
      <c r="H51" s="2" t="inlineStr">
        <is>
          <t>PASS</t>
        </is>
      </c>
      <c r="I51" s="2" t="inlineStr">
        <is>
          <t>PASS</t>
        </is>
      </c>
      <c r="J51" s="2" t="inlineStr">
        <is>
          <t>PASS</t>
        </is>
      </c>
      <c r="K51" s="2" t="inlineStr">
        <is>
          <t>PASS</t>
        </is>
      </c>
      <c r="L51" s="2" t="inlineStr">
        <is>
          <t>PASS</t>
        </is>
      </c>
      <c r="M51" s="2" t="inlineStr">
        <is>
          <t>PASS</t>
        </is>
      </c>
      <c r="N51" s="2" t="inlineStr">
        <is>
          <t>PASS</t>
        </is>
      </c>
      <c r="O51" s="2" t="inlineStr">
        <is>
          <t>PASS</t>
        </is>
      </c>
      <c r="P51" s="2" t="inlineStr">
        <is>
          <t>—</t>
        </is>
      </c>
      <c r="Q51" s="2" t="inlineStr">
        <is>
          <t>—</t>
        </is>
      </c>
      <c r="R51" s="2" t="inlineStr">
        <is>
          <t>—</t>
        </is>
      </c>
      <c r="S51" s="2" t="inlineStr">
        <is>
          <t>Yes</t>
        </is>
      </c>
      <c r="T51" s="2" t="inlineStr">
        <is>
          <t>Needs ruling</t>
        </is>
      </c>
      <c r="U51" s="2" t="inlineStr"/>
    </row>
    <row r="52">
      <c r="A52" s="2" t="n">
        <v>48</v>
      </c>
      <c r="B52" s="2" t="inlineStr">
        <is>
          <t>Armani Hallson @ Jalan Ampang</t>
        </is>
      </c>
      <c r="C52" s="2" t="inlineStr">
        <is>
          <t>Pass</t>
        </is>
      </c>
      <c r="D52" s="2" t="inlineStr">
        <is>
          <t>—</t>
        </is>
      </c>
      <c r="E52" s="2" t="inlineStr">
        <is>
          <t>—</t>
        </is>
      </c>
      <c r="F52" s="2" t="inlineStr">
        <is>
          <t>—</t>
        </is>
      </c>
      <c r="G52" s="2" t="inlineStr">
        <is>
          <t>—</t>
        </is>
      </c>
      <c r="H52" s="2" t="inlineStr">
        <is>
          <t>PASS</t>
        </is>
      </c>
      <c r="I52" s="2" t="inlineStr">
        <is>
          <t>PASS</t>
        </is>
      </c>
      <c r="J52" s="2" t="inlineStr">
        <is>
          <t>—</t>
        </is>
      </c>
      <c r="K52" s="2" t="inlineStr">
        <is>
          <t>—</t>
        </is>
      </c>
      <c r="L52" s="2" t="inlineStr">
        <is>
          <t>PASS</t>
        </is>
      </c>
      <c r="M52" s="2" t="inlineStr">
        <is>
          <t>PASS</t>
        </is>
      </c>
      <c r="N52" s="2" t="inlineStr">
        <is>
          <t>—</t>
        </is>
      </c>
      <c r="O52" s="2" t="inlineStr">
        <is>
          <t>—</t>
        </is>
      </c>
      <c r="P52" s="2" t="inlineStr">
        <is>
          <t>—</t>
        </is>
      </c>
      <c r="Q52" s="2" t="inlineStr">
        <is>
          <t>—</t>
        </is>
      </c>
      <c r="R52" s="2" t="inlineStr">
        <is>
          <t>—</t>
        </is>
      </c>
      <c r="S52" s="2" t="inlineStr">
        <is>
          <t>Yes</t>
        </is>
      </c>
      <c r="T52" s="2" t="inlineStr">
        <is>
          <t>Needs ruling</t>
        </is>
      </c>
      <c r="U52" s="2" t="inlineStr"/>
    </row>
    <row r="53">
      <c r="A53" s="2" t="n">
        <v>49</v>
      </c>
      <c r="B53" s="2" t="inlineStr">
        <is>
          <t>Orion Residence</t>
        </is>
      </c>
      <c r="C53" s="2" t="inlineStr">
        <is>
          <t>Pass</t>
        </is>
      </c>
      <c r="D53" s="2" t="inlineStr">
        <is>
          <t>—</t>
        </is>
      </c>
      <c r="E53" s="2" t="inlineStr">
        <is>
          <t>—</t>
        </is>
      </c>
      <c r="F53" s="2" t="inlineStr">
        <is>
          <t>—</t>
        </is>
      </c>
      <c r="G53" s="2" t="inlineStr">
        <is>
          <t>—</t>
        </is>
      </c>
      <c r="H53" s="2" t="inlineStr">
        <is>
          <t>PASS</t>
        </is>
      </c>
      <c r="I53" s="2" t="inlineStr">
        <is>
          <t>PASS</t>
        </is>
      </c>
      <c r="J53" s="2" t="inlineStr">
        <is>
          <t>PASS</t>
        </is>
      </c>
      <c r="K53" s="2" t="inlineStr">
        <is>
          <t>—</t>
        </is>
      </c>
      <c r="L53" s="2" t="inlineStr">
        <is>
          <t>PASS</t>
        </is>
      </c>
      <c r="M53" s="2" t="inlineStr">
        <is>
          <t>PASS</t>
        </is>
      </c>
      <c r="N53" s="2" t="inlineStr">
        <is>
          <t>PASS</t>
        </is>
      </c>
      <c r="O53" s="2" t="inlineStr">
        <is>
          <t>PASS</t>
        </is>
      </c>
      <c r="P53" s="2" t="inlineStr">
        <is>
          <t>—</t>
        </is>
      </c>
      <c r="Q53" s="2" t="inlineStr">
        <is>
          <t>—</t>
        </is>
      </c>
      <c r="R53" s="2" t="inlineStr">
        <is>
          <t>—</t>
        </is>
      </c>
      <c r="S53" s="2" t="inlineStr">
        <is>
          <t>Yes</t>
        </is>
      </c>
      <c r="T53" s="2" t="inlineStr">
        <is>
          <t>Needs ruling</t>
        </is>
      </c>
      <c r="U53" s="2" t="inlineStr">
        <is>
          <t>Developer: core value matches ("Oxley Holding"); the Excel's bracketed or extra wording omitted | Total Units: Manual: the bot gives 298 units, the Excel's total. The Excel cell also lists units per type (88/52/96/60/2), which the answer does not restate. | Total Floors: core value matches ("46 Floors"); the Excel's bracketed or extra wording omitted</t>
        </is>
      </c>
    </row>
    <row r="54">
      <c r="A54" s="2" t="n">
        <v>50</v>
      </c>
      <c r="B54" s="2" t="inlineStr">
        <is>
          <t>PSQ Pavilion Square</t>
        </is>
      </c>
      <c r="C54" s="2" t="inlineStr">
        <is>
          <t>Pass</t>
        </is>
      </c>
      <c r="D54" s="2" t="inlineStr">
        <is>
          <t>—</t>
        </is>
      </c>
      <c r="E54" s="2" t="inlineStr">
        <is>
          <t>—</t>
        </is>
      </c>
      <c r="F54" s="2" t="inlineStr">
        <is>
          <t>—</t>
        </is>
      </c>
      <c r="G54" s="2" t="inlineStr">
        <is>
          <t>—</t>
        </is>
      </c>
      <c r="H54" s="2" t="inlineStr">
        <is>
          <t>PASS</t>
        </is>
      </c>
      <c r="I54" s="2" t="inlineStr">
        <is>
          <t>PASS</t>
        </is>
      </c>
      <c r="J54" s="2" t="inlineStr">
        <is>
          <t>—</t>
        </is>
      </c>
      <c r="K54" s="2" t="inlineStr">
        <is>
          <t>PASS</t>
        </is>
      </c>
      <c r="L54" s="2" t="inlineStr">
        <is>
          <t>PASS</t>
        </is>
      </c>
      <c r="M54" s="2" t="inlineStr">
        <is>
          <t>PASS</t>
        </is>
      </c>
      <c r="N54" s="2" t="inlineStr">
        <is>
          <t>PASS</t>
        </is>
      </c>
      <c r="O54" s="2" t="inlineStr">
        <is>
          <t>—</t>
        </is>
      </c>
      <c r="P54" s="2" t="inlineStr">
        <is>
          <t>—</t>
        </is>
      </c>
      <c r="Q54" s="2" t="inlineStr">
        <is>
          <t>—</t>
        </is>
      </c>
      <c r="R54" s="2" t="inlineStr">
        <is>
          <t>—</t>
        </is>
      </c>
      <c r="S54" s="2" t="inlineStr">
        <is>
          <t>Yes</t>
        </is>
      </c>
      <c r="T54" s="2" t="inlineStr">
        <is>
          <t>Needs ruling</t>
        </is>
      </c>
      <c r="U54" s="2" t="inlineStr"/>
    </row>
    <row r="55">
      <c r="A55" s="2" t="n">
        <v>51</v>
      </c>
      <c r="B55" s="2" t="inlineStr">
        <is>
          <t>Katana 2 Residence</t>
        </is>
      </c>
      <c r="C55" s="2" t="inlineStr">
        <is>
          <t>Pass</t>
        </is>
      </c>
      <c r="D55" s="2" t="inlineStr">
        <is>
          <t>—</t>
        </is>
      </c>
      <c r="E55" s="2" t="inlineStr">
        <is>
          <t>—</t>
        </is>
      </c>
      <c r="F55" s="2" t="inlineStr">
        <is>
          <t>—</t>
        </is>
      </c>
      <c r="G55" s="2" t="inlineStr">
        <is>
          <t>—</t>
        </is>
      </c>
      <c r="H55" s="2" t="inlineStr">
        <is>
          <t>—</t>
        </is>
      </c>
      <c r="I55" s="2" t="inlineStr">
        <is>
          <t>PASS</t>
        </is>
      </c>
      <c r="J55" s="2" t="inlineStr">
        <is>
          <t>PASS</t>
        </is>
      </c>
      <c r="K55" s="2" t="inlineStr">
        <is>
          <t>PASS</t>
        </is>
      </c>
      <c r="L55" s="2" t="inlineStr">
        <is>
          <t>—</t>
        </is>
      </c>
      <c r="M55" s="2" t="inlineStr">
        <is>
          <t>PASS</t>
        </is>
      </c>
      <c r="N55" s="2" t="inlineStr">
        <is>
          <t>—</t>
        </is>
      </c>
      <c r="O55" s="2" t="inlineStr">
        <is>
          <t>PASS</t>
        </is>
      </c>
      <c r="P55" s="2" t="inlineStr">
        <is>
          <t>PASS</t>
        </is>
      </c>
      <c r="Q55" s="2" t="inlineStr">
        <is>
          <t>—</t>
        </is>
      </c>
      <c r="R55" s="2" t="inlineStr">
        <is>
          <t>—</t>
        </is>
      </c>
      <c r="S55" s="2" t="inlineStr">
        <is>
          <t>Yes</t>
        </is>
      </c>
      <c r="T55" s="2" t="inlineStr">
        <is>
          <t>Pass</t>
        </is>
      </c>
      <c r="U55" s="2" t="inlineStr">
        <is>
          <t>Top Reasons Why: Manual: all 10 Excel reasons are given, reworded (ISKL 280m, Uthant, 10-storey cap/53 embassies, security, 2km to KLCC, 40 homes/1 acre, 2,500-6,000+ sf, RM1,400 vs RM1,800 psf, furnished clearance units, BSG).</t>
        </is>
      </c>
    </row>
    <row r="56">
      <c r="A56" s="2" t="n">
        <v>52</v>
      </c>
      <c r="B56" s="2" t="inlineStr">
        <is>
          <t>The Centrix</t>
        </is>
      </c>
      <c r="C56" s="2" t="inlineStr">
        <is>
          <t>Pass</t>
        </is>
      </c>
      <c r="D56" s="2" t="inlineStr">
        <is>
          <t>—</t>
        </is>
      </c>
      <c r="E56" s="2" t="inlineStr">
        <is>
          <t>—</t>
        </is>
      </c>
      <c r="F56" s="2" t="inlineStr">
        <is>
          <t>—</t>
        </is>
      </c>
      <c r="G56" s="2" t="inlineStr">
        <is>
          <t>—</t>
        </is>
      </c>
      <c r="H56" s="2" t="inlineStr">
        <is>
          <t>—</t>
        </is>
      </c>
      <c r="I56" s="2" t="inlineStr">
        <is>
          <t>PASS</t>
        </is>
      </c>
      <c r="J56" s="2" t="inlineStr">
        <is>
          <t>PASS</t>
        </is>
      </c>
      <c r="K56" s="2" t="inlineStr">
        <is>
          <t>—</t>
        </is>
      </c>
      <c r="L56" s="2" t="inlineStr">
        <is>
          <t>PASS</t>
        </is>
      </c>
      <c r="M56" s="2" t="inlineStr">
        <is>
          <t>PASS</t>
        </is>
      </c>
      <c r="N56" s="2" t="inlineStr">
        <is>
          <t>PASS</t>
        </is>
      </c>
      <c r="O56" s="2" t="inlineStr">
        <is>
          <t>PASS</t>
        </is>
      </c>
      <c r="P56" s="2" t="inlineStr">
        <is>
          <t>—</t>
        </is>
      </c>
      <c r="Q56" s="2" t="inlineStr">
        <is>
          <t>—</t>
        </is>
      </c>
      <c r="R56" s="2" t="inlineStr">
        <is>
          <t>—</t>
        </is>
      </c>
      <c r="S56" s="2" t="inlineStr">
        <is>
          <t>Yes</t>
        </is>
      </c>
      <c r="T56" s="2" t="inlineStr">
        <is>
          <t>Pass</t>
        </is>
      </c>
      <c r="U56" s="2" t="inlineStr"/>
    </row>
    <row r="57">
      <c r="A57" s="2" t="n">
        <v>53</v>
      </c>
      <c r="B57" s="2" t="inlineStr">
        <is>
          <t>Quill Residences KLCC</t>
        </is>
      </c>
      <c r="C57" s="2" t="inlineStr">
        <is>
          <t>Pass</t>
        </is>
      </c>
      <c r="D57" s="2" t="inlineStr">
        <is>
          <t>—</t>
        </is>
      </c>
      <c r="E57" s="2" t="inlineStr">
        <is>
          <t>—</t>
        </is>
      </c>
      <c r="F57" s="2" t="inlineStr">
        <is>
          <t>—</t>
        </is>
      </c>
      <c r="G57" s="2" t="inlineStr">
        <is>
          <t>—</t>
        </is>
      </c>
      <c r="H57" s="2" t="inlineStr">
        <is>
          <t>PASS</t>
        </is>
      </c>
      <c r="I57" s="2" t="inlineStr">
        <is>
          <t>PASS</t>
        </is>
      </c>
      <c r="J57" s="2" t="inlineStr">
        <is>
          <t>—</t>
        </is>
      </c>
      <c r="K57" s="2" t="inlineStr">
        <is>
          <t>PASS</t>
        </is>
      </c>
      <c r="L57" s="2" t="inlineStr">
        <is>
          <t>PASS</t>
        </is>
      </c>
      <c r="M57" s="2" t="inlineStr">
        <is>
          <t>—</t>
        </is>
      </c>
      <c r="N57" s="2" t="inlineStr">
        <is>
          <t>—</t>
        </is>
      </c>
      <c r="O57" s="2" t="inlineStr">
        <is>
          <t>PASS</t>
        </is>
      </c>
      <c r="P57" s="2" t="inlineStr">
        <is>
          <t>—</t>
        </is>
      </c>
      <c r="Q57" s="2" t="inlineStr">
        <is>
          <t>—</t>
        </is>
      </c>
      <c r="R57" s="2" t="inlineStr">
        <is>
          <t>—</t>
        </is>
      </c>
      <c r="S57" s="2" t="inlineStr">
        <is>
          <t>Yes</t>
        </is>
      </c>
      <c r="T57" s="2" t="inlineStr">
        <is>
          <t>Needs ruling</t>
        </is>
      </c>
      <c r="U57" s="2" t="inlineStr"/>
    </row>
    <row r="58">
      <c r="A58" s="2" t="n">
        <v>54</v>
      </c>
      <c r="B58" s="2" t="inlineStr">
        <is>
          <t>Royal Lexis KL</t>
        </is>
      </c>
      <c r="C58" s="2" t="inlineStr">
        <is>
          <t>Pass</t>
        </is>
      </c>
      <c r="D58" s="2" t="inlineStr">
        <is>
          <t>—</t>
        </is>
      </c>
      <c r="E58" s="2" t="inlineStr">
        <is>
          <t>—</t>
        </is>
      </c>
      <c r="F58" s="2" t="inlineStr">
        <is>
          <t>—</t>
        </is>
      </c>
      <c r="G58" s="2" t="inlineStr">
        <is>
          <t>—</t>
        </is>
      </c>
      <c r="H58" s="2" t="inlineStr">
        <is>
          <t>PASS</t>
        </is>
      </c>
      <c r="I58" s="2" t="inlineStr">
        <is>
          <t>PASS</t>
        </is>
      </c>
      <c r="J58" s="2" t="inlineStr">
        <is>
          <t>PASS</t>
        </is>
      </c>
      <c r="K58" s="2" t="inlineStr">
        <is>
          <t>PASS</t>
        </is>
      </c>
      <c r="L58" s="2" t="inlineStr">
        <is>
          <t>PASS</t>
        </is>
      </c>
      <c r="M58" s="2" t="inlineStr">
        <is>
          <t>PASS</t>
        </is>
      </c>
      <c r="N58" s="2" t="inlineStr">
        <is>
          <t>—</t>
        </is>
      </c>
      <c r="O58" s="2" t="inlineStr">
        <is>
          <t>PASS</t>
        </is>
      </c>
      <c r="P58" s="2" t="inlineStr">
        <is>
          <t>—</t>
        </is>
      </c>
      <c r="Q58" s="2" t="inlineStr">
        <is>
          <t>—</t>
        </is>
      </c>
      <c r="R58" s="2" t="inlineStr">
        <is>
          <t>—</t>
        </is>
      </c>
      <c r="S58" s="2" t="inlineStr">
        <is>
          <t>Yes</t>
        </is>
      </c>
      <c r="T58" s="2" t="inlineStr">
        <is>
          <t>Pass</t>
        </is>
      </c>
      <c r="U58" s="2" t="inlineStr"/>
    </row>
    <row r="59">
      <c r="A59" s="2" t="n">
        <v>55</v>
      </c>
      <c r="B59" s="2" t="inlineStr">
        <is>
          <t>SO Sofitel Residences KLCC</t>
        </is>
      </c>
      <c r="C59" s="2" t="inlineStr">
        <is>
          <t>Pass</t>
        </is>
      </c>
      <c r="D59" s="2" t="inlineStr">
        <is>
          <t>PASS</t>
        </is>
      </c>
      <c r="E59" s="2" t="inlineStr">
        <is>
          <t>PASS</t>
        </is>
      </c>
      <c r="F59" s="2" t="inlineStr">
        <is>
          <t>PASS</t>
        </is>
      </c>
      <c r="G59" s="2" t="inlineStr">
        <is>
          <t>PASS</t>
        </is>
      </c>
      <c r="H59" s="2" t="inlineStr">
        <is>
          <t>PASS</t>
        </is>
      </c>
      <c r="I59" s="2" t="inlineStr">
        <is>
          <t>PASS</t>
        </is>
      </c>
      <c r="J59" s="2" t="inlineStr">
        <is>
          <t>—</t>
        </is>
      </c>
      <c r="K59" s="2" t="inlineStr">
        <is>
          <t>—</t>
        </is>
      </c>
      <c r="L59" s="2" t="inlineStr">
        <is>
          <t>PASS</t>
        </is>
      </c>
      <c r="M59" s="2" t="inlineStr">
        <is>
          <t>PASS</t>
        </is>
      </c>
      <c r="N59" s="2" t="inlineStr">
        <is>
          <t>—</t>
        </is>
      </c>
      <c r="O59" s="2" t="inlineStr">
        <is>
          <t>PASS</t>
        </is>
      </c>
      <c r="P59" s="2" t="inlineStr">
        <is>
          <t>—</t>
        </is>
      </c>
      <c r="Q59" s="2" t="inlineStr">
        <is>
          <t>—</t>
        </is>
      </c>
      <c r="R59" s="2" t="inlineStr">
        <is>
          <t>—</t>
        </is>
      </c>
      <c r="S59" s="2" t="inlineStr">
        <is>
          <t>Yes</t>
        </is>
      </c>
      <c r="T59" s="2" t="inlineStr">
        <is>
          <t>Pass</t>
        </is>
      </c>
      <c r="U59" s="2" t="inlineStr"/>
    </row>
    <row r="60">
      <c r="A60" s="2" t="n">
        <v>56</v>
      </c>
      <c r="B60" s="2" t="inlineStr">
        <is>
          <t>Le Nouvel KLCC</t>
        </is>
      </c>
      <c r="C60" s="2" t="inlineStr">
        <is>
          <t>Pass</t>
        </is>
      </c>
      <c r="D60" s="2" t="inlineStr">
        <is>
          <t>—</t>
        </is>
      </c>
      <c r="E60" s="2" t="inlineStr">
        <is>
          <t>—</t>
        </is>
      </c>
      <c r="F60" s="2" t="inlineStr">
        <is>
          <t>—</t>
        </is>
      </c>
      <c r="G60" s="2" t="inlineStr">
        <is>
          <t>—</t>
        </is>
      </c>
      <c r="H60" s="2" t="inlineStr">
        <is>
          <t>PASS</t>
        </is>
      </c>
      <c r="I60" s="2" t="inlineStr">
        <is>
          <t>—</t>
        </is>
      </c>
      <c r="J60" s="2" t="inlineStr">
        <is>
          <t>PASS</t>
        </is>
      </c>
      <c r="K60" s="2" t="inlineStr">
        <is>
          <t>—</t>
        </is>
      </c>
      <c r="L60" s="2" t="inlineStr">
        <is>
          <t>PASS</t>
        </is>
      </c>
      <c r="M60" s="2" t="inlineStr">
        <is>
          <t>PASS</t>
        </is>
      </c>
      <c r="N60" s="2" t="inlineStr">
        <is>
          <t>—</t>
        </is>
      </c>
      <c r="O60" s="2" t="inlineStr">
        <is>
          <t>PASS</t>
        </is>
      </c>
      <c r="P60" s="2" t="inlineStr">
        <is>
          <t>—</t>
        </is>
      </c>
      <c r="Q60" s="2" t="inlineStr">
        <is>
          <t>—</t>
        </is>
      </c>
      <c r="R60" s="2" t="inlineStr">
        <is>
          <t>—</t>
        </is>
      </c>
      <c r="S60" s="2" t="inlineStr">
        <is>
          <t>Yes</t>
        </is>
      </c>
      <c r="T60" s="2" t="inlineStr">
        <is>
          <t>Pass</t>
        </is>
      </c>
      <c r="U60" s="2" t="inlineStr"/>
    </row>
    <row r="61">
      <c r="A61" s="2" t="n">
        <v>57</v>
      </c>
      <c r="B61" s="2" t="inlineStr">
        <is>
          <t>Star Residences KLCC</t>
        </is>
      </c>
      <c r="C61" s="2" t="inlineStr">
        <is>
          <t>Pass</t>
        </is>
      </c>
      <c r="D61" s="2" t="inlineStr">
        <is>
          <t>—</t>
        </is>
      </c>
      <c r="E61" s="2" t="inlineStr">
        <is>
          <t>—</t>
        </is>
      </c>
      <c r="F61" s="2" t="inlineStr">
        <is>
          <t>—</t>
        </is>
      </c>
      <c r="G61" s="2" t="inlineStr">
        <is>
          <t>—</t>
        </is>
      </c>
      <c r="H61" s="2" t="inlineStr">
        <is>
          <t>PASS</t>
        </is>
      </c>
      <c r="I61" s="2" t="inlineStr">
        <is>
          <t>—</t>
        </is>
      </c>
      <c r="J61" s="2" t="inlineStr">
        <is>
          <t>—</t>
        </is>
      </c>
      <c r="K61" s="2" t="inlineStr">
        <is>
          <t>PASS</t>
        </is>
      </c>
      <c r="L61" s="2" t="inlineStr">
        <is>
          <t>PASS</t>
        </is>
      </c>
      <c r="M61" s="2" t="inlineStr">
        <is>
          <t>—</t>
        </is>
      </c>
      <c r="N61" s="2" t="inlineStr">
        <is>
          <t>—</t>
        </is>
      </c>
      <c r="O61" s="2" t="inlineStr">
        <is>
          <t>PASS</t>
        </is>
      </c>
      <c r="P61" s="2" t="inlineStr">
        <is>
          <t>—</t>
        </is>
      </c>
      <c r="Q61" s="2" t="inlineStr">
        <is>
          <t>—</t>
        </is>
      </c>
      <c r="R61" s="2" t="inlineStr">
        <is>
          <t>—</t>
        </is>
      </c>
      <c r="S61" s="2" t="inlineStr">
        <is>
          <t>Yes</t>
        </is>
      </c>
      <c r="T61" s="2" t="inlineStr">
        <is>
          <t>Pass</t>
        </is>
      </c>
      <c r="U61" s="2" t="inlineStr"/>
    </row>
    <row r="62">
      <c r="A62" s="2" t="n">
        <v>58</v>
      </c>
      <c r="B62" s="2" t="inlineStr">
        <is>
          <t>Jewel by Oxley KLCC</t>
        </is>
      </c>
      <c r="C62" s="2" t="inlineStr">
        <is>
          <t>Pass</t>
        </is>
      </c>
      <c r="D62" s="2" t="inlineStr">
        <is>
          <t>PASS</t>
        </is>
      </c>
      <c r="E62" s="2" t="inlineStr">
        <is>
          <t>PASS</t>
        </is>
      </c>
      <c r="F62" s="2" t="inlineStr">
        <is>
          <t>PASS</t>
        </is>
      </c>
      <c r="G62" s="2" t="inlineStr">
        <is>
          <t>PASS</t>
        </is>
      </c>
      <c r="H62" s="2" t="inlineStr">
        <is>
          <t>PASS</t>
        </is>
      </c>
      <c r="I62" s="2" t="inlineStr">
        <is>
          <t>—</t>
        </is>
      </c>
      <c r="J62" s="2" t="inlineStr">
        <is>
          <t>—</t>
        </is>
      </c>
      <c r="K62" s="2" t="inlineStr">
        <is>
          <t>PASS</t>
        </is>
      </c>
      <c r="L62" s="2" t="inlineStr">
        <is>
          <t>PASS</t>
        </is>
      </c>
      <c r="M62" s="2" t="inlineStr">
        <is>
          <t>—</t>
        </is>
      </c>
      <c r="N62" s="2" t="inlineStr">
        <is>
          <t>PASS</t>
        </is>
      </c>
      <c r="O62" s="2" t="inlineStr">
        <is>
          <t>—</t>
        </is>
      </c>
      <c r="P62" s="2" t="inlineStr">
        <is>
          <t>—</t>
        </is>
      </c>
      <c r="Q62" s="2" t="inlineStr">
        <is>
          <t>—</t>
        </is>
      </c>
      <c r="R62" s="2" t="inlineStr">
        <is>
          <t>—</t>
        </is>
      </c>
      <c r="S62" s="2" t="inlineStr">
        <is>
          <t>Yes</t>
        </is>
      </c>
      <c r="T62" s="2" t="inlineStr">
        <is>
          <t>Pass</t>
        </is>
      </c>
      <c r="U62" s="2" t="inlineStr"/>
    </row>
    <row r="63">
      <c r="A63" s="2" t="n">
        <v>59</v>
      </c>
      <c r="B63" s="2" t="inlineStr">
        <is>
          <t>Golden Crown Residence</t>
        </is>
      </c>
      <c r="C63" s="2" t="inlineStr">
        <is>
          <t>Pass</t>
        </is>
      </c>
      <c r="D63" s="2" t="inlineStr">
        <is>
          <t>—</t>
        </is>
      </c>
      <c r="E63" s="2" t="inlineStr">
        <is>
          <t>—</t>
        </is>
      </c>
      <c r="F63" s="2" t="inlineStr">
        <is>
          <t>—</t>
        </is>
      </c>
      <c r="G63" s="2" t="inlineStr">
        <is>
          <t>—</t>
        </is>
      </c>
      <c r="H63" s="2" t="inlineStr">
        <is>
          <t>PASS</t>
        </is>
      </c>
      <c r="I63" s="2" t="inlineStr">
        <is>
          <t>PASS</t>
        </is>
      </c>
      <c r="J63" s="2" t="inlineStr">
        <is>
          <t>PASS</t>
        </is>
      </c>
      <c r="K63" s="2" t="inlineStr">
        <is>
          <t>—</t>
        </is>
      </c>
      <c r="L63" s="2" t="inlineStr">
        <is>
          <t>PASS</t>
        </is>
      </c>
      <c r="M63" s="2" t="inlineStr">
        <is>
          <t>PASS</t>
        </is>
      </c>
      <c r="N63" s="2" t="inlineStr">
        <is>
          <t>PASS</t>
        </is>
      </c>
      <c r="O63" s="2" t="inlineStr">
        <is>
          <t>PASS</t>
        </is>
      </c>
      <c r="P63" s="2" t="inlineStr">
        <is>
          <t>—</t>
        </is>
      </c>
      <c r="Q63" s="2" t="inlineStr">
        <is>
          <t>—</t>
        </is>
      </c>
      <c r="R63" s="2" t="inlineStr">
        <is>
          <t>—</t>
        </is>
      </c>
      <c r="S63" s="2" t="inlineStr">
        <is>
          <t>Yes</t>
        </is>
      </c>
      <c r="T63" s="2" t="inlineStr">
        <is>
          <t>Pass</t>
        </is>
      </c>
      <c r="U63" s="2" t="inlineStr"/>
    </row>
    <row r="64">
      <c r="A64" s="2" t="n">
        <v>60</v>
      </c>
      <c r="B64" s="2" t="inlineStr">
        <is>
          <t>SWNK Houze @ BBCC (Bukit Bintang City Centre)</t>
        </is>
      </c>
      <c r="C64" s="2" t="inlineStr">
        <is>
          <t>Pass</t>
        </is>
      </c>
      <c r="D64" s="2" t="inlineStr">
        <is>
          <t>—</t>
        </is>
      </c>
      <c r="E64" s="2" t="inlineStr">
        <is>
          <t>—</t>
        </is>
      </c>
      <c r="F64" s="2" t="inlineStr">
        <is>
          <t>—</t>
        </is>
      </c>
      <c r="G64" s="2" t="inlineStr">
        <is>
          <t>—</t>
        </is>
      </c>
      <c r="H64" s="2" t="inlineStr">
        <is>
          <t>PASS</t>
        </is>
      </c>
      <c r="I64" s="2" t="inlineStr">
        <is>
          <t>PASS</t>
        </is>
      </c>
      <c r="J64" s="2" t="inlineStr">
        <is>
          <t>PASS</t>
        </is>
      </c>
      <c r="K64" s="2" t="inlineStr">
        <is>
          <t>—</t>
        </is>
      </c>
      <c r="L64" s="2" t="inlineStr">
        <is>
          <t>—</t>
        </is>
      </c>
      <c r="M64" s="2" t="inlineStr">
        <is>
          <t>PASS</t>
        </is>
      </c>
      <c r="N64" s="2" t="inlineStr">
        <is>
          <t>PASS</t>
        </is>
      </c>
      <c r="O64" s="2" t="inlineStr">
        <is>
          <t>PASS</t>
        </is>
      </c>
      <c r="P64" s="2" t="inlineStr">
        <is>
          <t>—</t>
        </is>
      </c>
      <c r="Q64" s="2" t="inlineStr">
        <is>
          <t>—</t>
        </is>
      </c>
      <c r="R64" s="2" t="inlineStr">
        <is>
          <t>—</t>
        </is>
      </c>
      <c r="S64" s="2" t="inlineStr">
        <is>
          <t>Yes</t>
        </is>
      </c>
      <c r="T64" s="2" t="inlineStr">
        <is>
          <t>Pass</t>
        </is>
      </c>
      <c r="U64" s="2" t="inlineStr"/>
    </row>
    <row r="65">
      <c r="A65" s="2" t="n">
        <v>61</v>
      </c>
      <c r="B65" s="2" t="inlineStr">
        <is>
          <t>Times Square 2 Residences Kuala Lumpur</t>
        </is>
      </c>
      <c r="C65" s="2" t="inlineStr">
        <is>
          <t>Pass</t>
        </is>
      </c>
      <c r="D65" s="2" t="inlineStr">
        <is>
          <t>—</t>
        </is>
      </c>
      <c r="E65" s="2" t="inlineStr">
        <is>
          <t>—</t>
        </is>
      </c>
      <c r="F65" s="2" t="inlineStr">
        <is>
          <t>—</t>
        </is>
      </c>
      <c r="G65" s="2" t="inlineStr">
        <is>
          <t>—</t>
        </is>
      </c>
      <c r="H65" s="2" t="inlineStr">
        <is>
          <t>PASS</t>
        </is>
      </c>
      <c r="I65" s="2" t="inlineStr">
        <is>
          <t>—</t>
        </is>
      </c>
      <c r="J65" s="2" t="inlineStr">
        <is>
          <t>—</t>
        </is>
      </c>
      <c r="K65" s="2" t="inlineStr">
        <is>
          <t>—</t>
        </is>
      </c>
      <c r="L65" s="2" t="inlineStr">
        <is>
          <t>—</t>
        </is>
      </c>
      <c r="M65" s="2" t="inlineStr">
        <is>
          <t>—</t>
        </is>
      </c>
      <c r="N65" s="2" t="inlineStr">
        <is>
          <t>—</t>
        </is>
      </c>
      <c r="O65" s="2" t="inlineStr">
        <is>
          <t>—</t>
        </is>
      </c>
      <c r="P65" s="2" t="inlineStr">
        <is>
          <t>—</t>
        </is>
      </c>
      <c r="Q65" s="2" t="inlineStr">
        <is>
          <t>—</t>
        </is>
      </c>
      <c r="R65" s="2" t="inlineStr">
        <is>
          <t>—</t>
        </is>
      </c>
      <c r="S65" s="2" t="inlineStr">
        <is>
          <t>Yes</t>
        </is>
      </c>
      <c r="T65" s="2" t="inlineStr">
        <is>
          <t>Pass</t>
        </is>
      </c>
      <c r="U65" s="2" t="inlineStr"/>
    </row>
    <row r="66">
      <c r="A66" s="2" t="n">
        <v>62</v>
      </c>
      <c r="B66" s="2" t="inlineStr">
        <is>
          <t>The Manor KLCC</t>
        </is>
      </c>
      <c r="C66" s="2" t="inlineStr">
        <is>
          <t>Pass</t>
        </is>
      </c>
      <c r="D66" s="2" t="inlineStr">
        <is>
          <t>—</t>
        </is>
      </c>
      <c r="E66" s="2" t="inlineStr">
        <is>
          <t>—</t>
        </is>
      </c>
      <c r="F66" s="2" t="inlineStr">
        <is>
          <t>—</t>
        </is>
      </c>
      <c r="G66" s="2" t="inlineStr">
        <is>
          <t>—</t>
        </is>
      </c>
      <c r="H66" s="2" t="inlineStr">
        <is>
          <t>PASS</t>
        </is>
      </c>
      <c r="I66" s="2" t="inlineStr">
        <is>
          <t>PASS</t>
        </is>
      </c>
      <c r="J66" s="2" t="inlineStr">
        <is>
          <t>—</t>
        </is>
      </c>
      <c r="K66" s="2" t="inlineStr">
        <is>
          <t>—</t>
        </is>
      </c>
      <c r="L66" s="2" t="inlineStr">
        <is>
          <t>PASS</t>
        </is>
      </c>
      <c r="M66" s="2" t="inlineStr">
        <is>
          <t>PASS</t>
        </is>
      </c>
      <c r="N66" s="2" t="inlineStr">
        <is>
          <t>PASS</t>
        </is>
      </c>
      <c r="O66" s="2" t="inlineStr">
        <is>
          <t>—</t>
        </is>
      </c>
      <c r="P66" s="2" t="inlineStr">
        <is>
          <t>—</t>
        </is>
      </c>
      <c r="Q66" s="2" t="inlineStr">
        <is>
          <t>—</t>
        </is>
      </c>
      <c r="R66" s="2" t="inlineStr">
        <is>
          <t>—</t>
        </is>
      </c>
      <c r="S66" s="2" t="inlineStr">
        <is>
          <t>Yes</t>
        </is>
      </c>
      <c r="T66" s="2" t="inlineStr">
        <is>
          <t>Pass</t>
        </is>
      </c>
      <c r="U66" s="2" t="inlineStr"/>
    </row>
    <row r="67">
      <c r="A67" s="2" t="n">
        <v>63</v>
      </c>
      <c r="B67" s="2" t="inlineStr">
        <is>
          <t>TRX Residences</t>
        </is>
      </c>
      <c r="C67" s="2" t="inlineStr">
        <is>
          <t>Pass</t>
        </is>
      </c>
      <c r="D67" s="2" t="inlineStr">
        <is>
          <t>—</t>
        </is>
      </c>
      <c r="E67" s="2" t="inlineStr">
        <is>
          <t>—</t>
        </is>
      </c>
      <c r="F67" s="2" t="inlineStr">
        <is>
          <t>—</t>
        </is>
      </c>
      <c r="G67" s="2" t="inlineStr">
        <is>
          <t>—</t>
        </is>
      </c>
      <c r="H67" s="2" t="inlineStr">
        <is>
          <t>PASS</t>
        </is>
      </c>
      <c r="I67" s="2" t="inlineStr">
        <is>
          <t>—</t>
        </is>
      </c>
      <c r="J67" s="2" t="inlineStr">
        <is>
          <t>—</t>
        </is>
      </c>
      <c r="K67" s="2" t="inlineStr">
        <is>
          <t>HELD</t>
        </is>
      </c>
      <c r="L67" s="2" t="inlineStr">
        <is>
          <t>PASS</t>
        </is>
      </c>
      <c r="M67" s="2" t="inlineStr">
        <is>
          <t>PASS</t>
        </is>
      </c>
      <c r="N67" s="2" t="inlineStr">
        <is>
          <t>—</t>
        </is>
      </c>
      <c r="O67" s="2" t="inlineStr">
        <is>
          <t>PASS</t>
        </is>
      </c>
      <c r="P67" s="2" t="inlineStr">
        <is>
          <t>—</t>
        </is>
      </c>
      <c r="Q67" s="2" t="inlineStr">
        <is>
          <t>—</t>
        </is>
      </c>
      <c r="R67" s="2" t="inlineStr">
        <is>
          <t>—</t>
        </is>
      </c>
      <c r="S67" s="2" t="inlineStr">
        <is>
          <t>Yes</t>
        </is>
      </c>
      <c r="T67" s="2" t="inlineStr">
        <is>
          <t>Pass</t>
        </is>
      </c>
      <c r="U67" s="2" t="inlineStr"/>
    </row>
    <row r="68">
      <c r="A68" s="2" t="n">
        <v>64</v>
      </c>
      <c r="B68" s="2" t="inlineStr">
        <is>
          <t>The Oval Kuala Lumpur</t>
        </is>
      </c>
      <c r="C68" s="2" t="inlineStr">
        <is>
          <t>Pass</t>
        </is>
      </c>
      <c r="D68" s="2" t="inlineStr">
        <is>
          <t>—</t>
        </is>
      </c>
      <c r="E68" s="2" t="inlineStr">
        <is>
          <t>—</t>
        </is>
      </c>
      <c r="F68" s="2" t="inlineStr">
        <is>
          <t>—</t>
        </is>
      </c>
      <c r="G68" s="2" t="inlineStr">
        <is>
          <t>—</t>
        </is>
      </c>
      <c r="H68" s="2" t="inlineStr">
        <is>
          <t>PASS</t>
        </is>
      </c>
      <c r="I68" s="2" t="inlineStr">
        <is>
          <t>PASS</t>
        </is>
      </c>
      <c r="J68" s="2" t="inlineStr">
        <is>
          <t>PASS</t>
        </is>
      </c>
      <c r="K68" s="2" t="inlineStr">
        <is>
          <t>HELD</t>
        </is>
      </c>
      <c r="L68" s="2" t="inlineStr">
        <is>
          <t>PASS</t>
        </is>
      </c>
      <c r="M68" s="2" t="inlineStr">
        <is>
          <t>—</t>
        </is>
      </c>
      <c r="N68" s="2" t="inlineStr">
        <is>
          <t>PASS</t>
        </is>
      </c>
      <c r="O68" s="2" t="inlineStr">
        <is>
          <t>—</t>
        </is>
      </c>
      <c r="P68" s="2" t="inlineStr">
        <is>
          <t>—</t>
        </is>
      </c>
      <c r="Q68" s="2" t="inlineStr">
        <is>
          <t>—</t>
        </is>
      </c>
      <c r="R68" s="2" t="inlineStr">
        <is>
          <t>—</t>
        </is>
      </c>
      <c r="S68" s="2" t="inlineStr">
        <is>
          <t>Yes</t>
        </is>
      </c>
      <c r="T68" s="2" t="inlineStr">
        <is>
          <t>Pass</t>
        </is>
      </c>
      <c r="U68" s="2" t="inlineStr"/>
    </row>
    <row r="69">
      <c r="A69" s="2" t="n">
        <v>65</v>
      </c>
      <c r="B69" s="2" t="inlineStr">
        <is>
          <t>The Ritz- Carlton Residences</t>
        </is>
      </c>
      <c r="C69" s="2" t="inlineStr">
        <is>
          <t>Pass</t>
        </is>
      </c>
      <c r="D69" s="2" t="inlineStr">
        <is>
          <t>—</t>
        </is>
      </c>
      <c r="E69" s="2" t="inlineStr">
        <is>
          <t>—</t>
        </is>
      </c>
      <c r="F69" s="2" t="inlineStr">
        <is>
          <t>—</t>
        </is>
      </c>
      <c r="G69" s="2" t="inlineStr">
        <is>
          <t>—</t>
        </is>
      </c>
      <c r="H69" s="2" t="inlineStr">
        <is>
          <t>PASS</t>
        </is>
      </c>
      <c r="I69" s="2" t="inlineStr">
        <is>
          <t>—</t>
        </is>
      </c>
      <c r="J69" s="2" t="inlineStr">
        <is>
          <t>—</t>
        </is>
      </c>
      <c r="K69" s="2" t="inlineStr">
        <is>
          <t>—</t>
        </is>
      </c>
      <c r="L69" s="2" t="inlineStr">
        <is>
          <t>PASS</t>
        </is>
      </c>
      <c r="M69" s="2" t="inlineStr">
        <is>
          <t>PASS</t>
        </is>
      </c>
      <c r="N69" s="2" t="inlineStr">
        <is>
          <t>—</t>
        </is>
      </c>
      <c r="O69" s="2" t="inlineStr">
        <is>
          <t>PASS</t>
        </is>
      </c>
      <c r="P69" s="2" t="inlineStr">
        <is>
          <t>—</t>
        </is>
      </c>
      <c r="Q69" s="2" t="inlineStr">
        <is>
          <t>—</t>
        </is>
      </c>
      <c r="R69" s="2" t="inlineStr">
        <is>
          <t>—</t>
        </is>
      </c>
      <c r="S69" s="2" t="inlineStr">
        <is>
          <t>Yes</t>
        </is>
      </c>
      <c r="T69" s="2" t="inlineStr">
        <is>
          <t>Pass</t>
        </is>
      </c>
      <c r="U69" s="2" t="inlineStr"/>
    </row>
    <row r="70">
      <c r="A70" s="2" t="n">
        <v>66</v>
      </c>
      <c r="B70" s="2" t="inlineStr">
        <is>
          <t>The Stride Office @ BBCC</t>
        </is>
      </c>
      <c r="C70" s="2" t="inlineStr">
        <is>
          <t>Pass</t>
        </is>
      </c>
      <c r="D70" s="2" t="inlineStr">
        <is>
          <t>—</t>
        </is>
      </c>
      <c r="E70" s="2" t="inlineStr">
        <is>
          <t>—</t>
        </is>
      </c>
      <c r="F70" s="2" t="inlineStr">
        <is>
          <t>—</t>
        </is>
      </c>
      <c r="G70" s="2" t="inlineStr">
        <is>
          <t>—</t>
        </is>
      </c>
      <c r="H70" s="2" t="inlineStr">
        <is>
          <t>PASS</t>
        </is>
      </c>
      <c r="I70" s="2" t="inlineStr">
        <is>
          <t>PASS</t>
        </is>
      </c>
      <c r="J70" s="2" t="inlineStr">
        <is>
          <t>PASS</t>
        </is>
      </c>
      <c r="K70" s="2" t="inlineStr">
        <is>
          <t>—</t>
        </is>
      </c>
      <c r="L70" s="2" t="inlineStr">
        <is>
          <t>—</t>
        </is>
      </c>
      <c r="M70" s="2" t="inlineStr">
        <is>
          <t>PASS</t>
        </is>
      </c>
      <c r="N70" s="2" t="inlineStr">
        <is>
          <t>PASS</t>
        </is>
      </c>
      <c r="O70" s="2" t="inlineStr">
        <is>
          <t>—</t>
        </is>
      </c>
      <c r="P70" s="2" t="inlineStr">
        <is>
          <t>—</t>
        </is>
      </c>
      <c r="Q70" s="2" t="inlineStr">
        <is>
          <t>—</t>
        </is>
      </c>
      <c r="R70" s="2" t="inlineStr">
        <is>
          <t>—</t>
        </is>
      </c>
      <c r="S70" s="2" t="inlineStr">
        <is>
          <t>Yes</t>
        </is>
      </c>
      <c r="T70" s="2" t="inlineStr">
        <is>
          <t>Pass</t>
        </is>
      </c>
      <c r="U70" s="2" t="inlineStr"/>
    </row>
    <row r="71">
      <c r="A71" s="2" t="n">
        <v>67</v>
      </c>
      <c r="B71" s="2" t="inlineStr">
        <is>
          <t>Rimbun Saujana Residency</t>
        </is>
      </c>
      <c r="C71" s="2" t="inlineStr">
        <is>
          <t>Pass</t>
        </is>
      </c>
      <c r="D71" s="2" t="inlineStr">
        <is>
          <t>—</t>
        </is>
      </c>
      <c r="E71" s="2" t="inlineStr">
        <is>
          <t>—</t>
        </is>
      </c>
      <c r="F71" s="2" t="inlineStr">
        <is>
          <t>—</t>
        </is>
      </c>
      <c r="G71" s="2" t="inlineStr">
        <is>
          <t>—</t>
        </is>
      </c>
      <c r="H71" s="2" t="inlineStr">
        <is>
          <t>PASS</t>
        </is>
      </c>
      <c r="I71" s="2" t="inlineStr">
        <is>
          <t>PASS</t>
        </is>
      </c>
      <c r="J71" s="2" t="inlineStr">
        <is>
          <t>PASS</t>
        </is>
      </c>
      <c r="K71" s="2" t="inlineStr">
        <is>
          <t>PASS</t>
        </is>
      </c>
      <c r="L71" s="2" t="inlineStr">
        <is>
          <t>PASS</t>
        </is>
      </c>
      <c r="M71" s="2" t="inlineStr">
        <is>
          <t>—</t>
        </is>
      </c>
      <c r="N71" s="2" t="inlineStr">
        <is>
          <t>—</t>
        </is>
      </c>
      <c r="O71" s="2" t="inlineStr">
        <is>
          <t>PASS</t>
        </is>
      </c>
      <c r="P71" s="2" t="inlineStr">
        <is>
          <t>—</t>
        </is>
      </c>
      <c r="Q71" s="2" t="inlineStr">
        <is>
          <t>—</t>
        </is>
      </c>
      <c r="R71" s="2" t="inlineStr">
        <is>
          <t>—</t>
        </is>
      </c>
      <c r="S71" s="2" t="inlineStr">
        <is>
          <t>Yes</t>
        </is>
      </c>
      <c r="T71" s="2" t="inlineStr">
        <is>
          <t>Pass</t>
        </is>
      </c>
      <c r="U71" s="2" t="inlineStr"/>
    </row>
    <row r="72">
      <c r="A72" s="2" t="n">
        <v>68</v>
      </c>
      <c r="B72" s="2" t="inlineStr">
        <is>
          <t>Luminar Residence Subang by BRDB</t>
        </is>
      </c>
      <c r="C72" s="2" t="inlineStr">
        <is>
          <t>Pass</t>
        </is>
      </c>
      <c r="D72" s="2" t="inlineStr">
        <is>
          <t>PASS</t>
        </is>
      </c>
      <c r="E72" s="2" t="inlineStr">
        <is>
          <t>PASS</t>
        </is>
      </c>
      <c r="F72" s="2" t="inlineStr">
        <is>
          <t>PASS</t>
        </is>
      </c>
      <c r="G72" s="2" t="inlineStr">
        <is>
          <t>PASS</t>
        </is>
      </c>
      <c r="H72" s="2" t="inlineStr">
        <is>
          <t>PASS</t>
        </is>
      </c>
      <c r="I72" s="2" t="inlineStr">
        <is>
          <t>PASS</t>
        </is>
      </c>
      <c r="J72" s="2" t="inlineStr">
        <is>
          <t>PASS</t>
        </is>
      </c>
      <c r="K72" s="2" t="inlineStr">
        <is>
          <t>PASS</t>
        </is>
      </c>
      <c r="L72" s="2" t="inlineStr">
        <is>
          <t>PASS</t>
        </is>
      </c>
      <c r="M72" s="2" t="inlineStr">
        <is>
          <t>PASS</t>
        </is>
      </c>
      <c r="N72" s="2" t="inlineStr">
        <is>
          <t>—</t>
        </is>
      </c>
      <c r="O72" s="2" t="inlineStr">
        <is>
          <t>PASS</t>
        </is>
      </c>
      <c r="P72" s="2" t="inlineStr">
        <is>
          <t>—</t>
        </is>
      </c>
      <c r="Q72" s="2" t="inlineStr">
        <is>
          <t>—</t>
        </is>
      </c>
      <c r="R72" s="2" t="inlineStr">
        <is>
          <t>—</t>
        </is>
      </c>
      <c r="S72" s="2" t="inlineStr">
        <is>
          <t>Yes</t>
        </is>
      </c>
      <c r="T72" s="2" t="inlineStr">
        <is>
          <t>Pass</t>
        </is>
      </c>
      <c r="U72" s="2" t="inlineStr"/>
    </row>
    <row r="73">
      <c r="A73" s="2" t="n">
        <v>69</v>
      </c>
      <c r="B73" s="2" t="inlineStr">
        <is>
          <t>Accent PJ</t>
        </is>
      </c>
      <c r="C73" s="2" t="inlineStr">
        <is>
          <t>Pass</t>
        </is>
      </c>
      <c r="D73" s="2" t="inlineStr">
        <is>
          <t>—</t>
        </is>
      </c>
      <c r="E73" s="2" t="inlineStr">
        <is>
          <t>—</t>
        </is>
      </c>
      <c r="F73" s="2" t="inlineStr">
        <is>
          <t>—</t>
        </is>
      </c>
      <c r="G73" s="2" t="inlineStr">
        <is>
          <t>—</t>
        </is>
      </c>
      <c r="H73" s="2" t="inlineStr">
        <is>
          <t>PASS</t>
        </is>
      </c>
      <c r="I73" s="2" t="inlineStr">
        <is>
          <t>PASS</t>
        </is>
      </c>
      <c r="J73" s="2" t="inlineStr">
        <is>
          <t>PASS</t>
        </is>
      </c>
      <c r="K73" s="2" t="inlineStr">
        <is>
          <t>PASS</t>
        </is>
      </c>
      <c r="L73" s="2" t="inlineStr">
        <is>
          <t>PASS</t>
        </is>
      </c>
      <c r="M73" s="2" t="inlineStr">
        <is>
          <t>—</t>
        </is>
      </c>
      <c r="N73" s="2" t="inlineStr">
        <is>
          <t>—</t>
        </is>
      </c>
      <c r="O73" s="2" t="inlineStr">
        <is>
          <t>PASS</t>
        </is>
      </c>
      <c r="P73" s="2" t="inlineStr">
        <is>
          <t>—</t>
        </is>
      </c>
      <c r="Q73" s="2" t="inlineStr">
        <is>
          <t>—</t>
        </is>
      </c>
      <c r="R73" s="2" t="inlineStr">
        <is>
          <t>—</t>
        </is>
      </c>
      <c r="S73" s="2" t="inlineStr">
        <is>
          <t>Yes</t>
        </is>
      </c>
      <c r="T73" s="2" t="inlineStr">
        <is>
          <t>Pass</t>
        </is>
      </c>
      <c r="U73" s="2" t="inlineStr"/>
    </row>
    <row r="74">
      <c r="A74" s="2" t="n">
        <v>70</v>
      </c>
      <c r="B74" s="2" t="inlineStr">
        <is>
          <t>26 Araville PJ</t>
        </is>
      </c>
      <c r="C74" s="2" t="inlineStr">
        <is>
          <t>Pass</t>
        </is>
      </c>
      <c r="D74" s="2" t="inlineStr">
        <is>
          <t>—</t>
        </is>
      </c>
      <c r="E74" s="2" t="inlineStr">
        <is>
          <t>—</t>
        </is>
      </c>
      <c r="F74" s="2" t="inlineStr">
        <is>
          <t>—</t>
        </is>
      </c>
      <c r="G74" s="2" t="inlineStr">
        <is>
          <t>—</t>
        </is>
      </c>
      <c r="H74" s="2" t="inlineStr">
        <is>
          <t>PASS</t>
        </is>
      </c>
      <c r="I74" s="2" t="inlineStr">
        <is>
          <t>PASS</t>
        </is>
      </c>
      <c r="J74" s="2" t="inlineStr">
        <is>
          <t>PASS</t>
        </is>
      </c>
      <c r="K74" s="2" t="inlineStr">
        <is>
          <t>PASS</t>
        </is>
      </c>
      <c r="L74" s="2" t="inlineStr">
        <is>
          <t>PASS</t>
        </is>
      </c>
      <c r="M74" s="2" t="inlineStr">
        <is>
          <t>PASS</t>
        </is>
      </c>
      <c r="N74" s="2" t="inlineStr">
        <is>
          <t>—</t>
        </is>
      </c>
      <c r="O74" s="2" t="inlineStr">
        <is>
          <t>PASS</t>
        </is>
      </c>
      <c r="P74" s="2" t="inlineStr">
        <is>
          <t>—</t>
        </is>
      </c>
      <c r="Q74" s="2" t="inlineStr">
        <is>
          <t>—</t>
        </is>
      </c>
      <c r="R74" s="2" t="inlineStr">
        <is>
          <t>—</t>
        </is>
      </c>
      <c r="S74" s="2" t="inlineStr">
        <is>
          <t>Yes</t>
        </is>
      </c>
      <c r="T74" s="2" t="inlineStr">
        <is>
          <t>Pass</t>
        </is>
      </c>
      <c r="U74" s="2" t="inlineStr"/>
    </row>
    <row r="75">
      <c r="A75" s="2" t="n">
        <v>71</v>
      </c>
      <c r="B75" s="2" t="inlineStr">
        <is>
          <t>The Atera, PJ by Paramount Property</t>
        </is>
      </c>
      <c r="C75" s="2" t="inlineStr">
        <is>
          <t>Pass</t>
        </is>
      </c>
      <c r="D75" s="2" t="inlineStr">
        <is>
          <t>—</t>
        </is>
      </c>
      <c r="E75" s="2" t="inlineStr">
        <is>
          <t>—</t>
        </is>
      </c>
      <c r="F75" s="2" t="inlineStr">
        <is>
          <t>—</t>
        </is>
      </c>
      <c r="G75" s="2" t="inlineStr">
        <is>
          <t>—</t>
        </is>
      </c>
      <c r="H75" s="2" t="inlineStr">
        <is>
          <t>PASS</t>
        </is>
      </c>
      <c r="I75" s="2" t="inlineStr">
        <is>
          <t>PASS</t>
        </is>
      </c>
      <c r="J75" s="2" t="inlineStr">
        <is>
          <t>PASS</t>
        </is>
      </c>
      <c r="K75" s="2" t="inlineStr">
        <is>
          <t>PASS</t>
        </is>
      </c>
      <c r="L75" s="2" t="inlineStr">
        <is>
          <t>PASS</t>
        </is>
      </c>
      <c r="M75" s="2" t="inlineStr">
        <is>
          <t>—</t>
        </is>
      </c>
      <c r="N75" s="2" t="inlineStr">
        <is>
          <t>—</t>
        </is>
      </c>
      <c r="O75" s="2" t="inlineStr">
        <is>
          <t>PASS</t>
        </is>
      </c>
      <c r="P75" s="2" t="inlineStr">
        <is>
          <t>—</t>
        </is>
      </c>
      <c r="Q75" s="2" t="inlineStr">
        <is>
          <t>—</t>
        </is>
      </c>
      <c r="R75" s="2" t="inlineStr">
        <is>
          <t>—</t>
        </is>
      </c>
      <c r="S75" s="2" t="inlineStr">
        <is>
          <t>Yes</t>
        </is>
      </c>
      <c r="T75" s="2" t="inlineStr">
        <is>
          <t>Pass</t>
        </is>
      </c>
      <c r="U75" s="2" t="inlineStr"/>
    </row>
    <row r="76">
      <c r="A76" s="2" t="n">
        <v>72</v>
      </c>
      <c r="B76" s="2" t="inlineStr">
        <is>
          <t>Anyara Hills</t>
        </is>
      </c>
      <c r="C76" s="2" t="inlineStr">
        <is>
          <t>Pass</t>
        </is>
      </c>
      <c r="D76" s="2" t="inlineStr">
        <is>
          <t>—</t>
        </is>
      </c>
      <c r="E76" s="2" t="inlineStr">
        <is>
          <t>—</t>
        </is>
      </c>
      <c r="F76" s="2" t="inlineStr">
        <is>
          <t>—</t>
        </is>
      </c>
      <c r="G76" s="2" t="inlineStr">
        <is>
          <t>—</t>
        </is>
      </c>
      <c r="H76" s="2" t="inlineStr">
        <is>
          <t>PASS</t>
        </is>
      </c>
      <c r="I76" s="2" t="inlineStr">
        <is>
          <t>PASS</t>
        </is>
      </c>
      <c r="J76" s="2" t="inlineStr">
        <is>
          <t>PASS</t>
        </is>
      </c>
      <c r="K76" s="2" t="inlineStr">
        <is>
          <t>—</t>
        </is>
      </c>
      <c r="L76" s="2" t="inlineStr">
        <is>
          <t>PASS</t>
        </is>
      </c>
      <c r="M76" s="2" t="inlineStr">
        <is>
          <t>PASS</t>
        </is>
      </c>
      <c r="N76" s="2" t="inlineStr">
        <is>
          <t>—</t>
        </is>
      </c>
      <c r="O76" s="2" t="inlineStr">
        <is>
          <t>PASS</t>
        </is>
      </c>
      <c r="P76" s="2" t="inlineStr">
        <is>
          <t>—</t>
        </is>
      </c>
      <c r="Q76" s="2" t="inlineStr">
        <is>
          <t>—</t>
        </is>
      </c>
      <c r="R76" s="2" t="inlineStr">
        <is>
          <t>—</t>
        </is>
      </c>
      <c r="S76" s="2" t="inlineStr">
        <is>
          <t>Yes</t>
        </is>
      </c>
      <c r="T76" s="2" t="inlineStr">
        <is>
          <t>Pass</t>
        </is>
      </c>
      <c r="U76" s="2" t="inlineStr"/>
    </row>
    <row r="77">
      <c r="A77" s="2" t="n">
        <v>73</v>
      </c>
      <c r="B77" s="2" t="inlineStr">
        <is>
          <t>Yanu Hills @ Bon Estates</t>
        </is>
      </c>
      <c r="C77" s="2" t="inlineStr">
        <is>
          <t>Check</t>
        </is>
      </c>
      <c r="D77" s="2" t="inlineStr">
        <is>
          <t>—</t>
        </is>
      </c>
      <c r="E77" s="2" t="inlineStr">
        <is>
          <t>—</t>
        </is>
      </c>
      <c r="F77" s="2" t="inlineStr">
        <is>
          <t>—</t>
        </is>
      </c>
      <c r="G77" s="2" t="inlineStr">
        <is>
          <t>—</t>
        </is>
      </c>
      <c r="H77" s="2" t="inlineStr">
        <is>
          <t>DIFFERS</t>
        </is>
      </c>
      <c r="I77" s="2" t="inlineStr">
        <is>
          <t>—</t>
        </is>
      </c>
      <c r="J77" s="2" t="inlineStr">
        <is>
          <t>PASS</t>
        </is>
      </c>
      <c r="K77" s="2" t="inlineStr">
        <is>
          <t>PASS</t>
        </is>
      </c>
      <c r="L77" s="2" t="inlineStr">
        <is>
          <t>PASS</t>
        </is>
      </c>
      <c r="M77" s="2" t="inlineStr">
        <is>
          <t>PASS</t>
        </is>
      </c>
      <c r="N77" s="2" t="inlineStr">
        <is>
          <t>—</t>
        </is>
      </c>
      <c r="O77" s="2" t="inlineStr">
        <is>
          <t>PASS</t>
        </is>
      </c>
      <c r="P77" s="2" t="inlineStr">
        <is>
          <t>—</t>
        </is>
      </c>
      <c r="Q77" s="2" t="inlineStr">
        <is>
          <t>—</t>
        </is>
      </c>
      <c r="R77" s="2" t="inlineStr">
        <is>
          <t>—</t>
        </is>
      </c>
      <c r="S77" s="2" t="inlineStr">
        <is>
          <t>Yes</t>
        </is>
      </c>
      <c r="T77" s="2" t="inlineStr">
        <is>
          <t>Pass</t>
        </is>
      </c>
      <c r="U77" s="2" t="inlineStr">
        <is>
          <t>Area: Manual: the bot says 'Taman Nadayu, Melawati, Selangor' (from the brochure); the Excel says 'Taman Melawati, Kuala Lumpur.' The Excel is inconsistent with itself: its Land Title for this project is 'Selangor Individual'. Ask the client which is right.</t>
        </is>
      </c>
    </row>
    <row r="78">
      <c r="A78" s="2" t="n">
        <v>74</v>
      </c>
      <c r="B78" s="2" t="inlineStr">
        <is>
          <t>Rafflesia @ Hill 4</t>
        </is>
      </c>
      <c r="C78" s="2" t="inlineStr">
        <is>
          <t>Pass</t>
        </is>
      </c>
      <c r="D78" s="2" t="inlineStr">
        <is>
          <t>PASS</t>
        </is>
      </c>
      <c r="E78" s="2" t="inlineStr">
        <is>
          <t>PASS</t>
        </is>
      </c>
      <c r="F78" s="2" t="inlineStr">
        <is>
          <t>PASS</t>
        </is>
      </c>
      <c r="G78" s="2" t="inlineStr">
        <is>
          <t>PASS</t>
        </is>
      </c>
      <c r="H78" s="2" t="inlineStr">
        <is>
          <t>—</t>
        </is>
      </c>
      <c r="I78" s="2" t="inlineStr">
        <is>
          <t>PASS</t>
        </is>
      </c>
      <c r="J78" s="2" t="inlineStr">
        <is>
          <t>PASS</t>
        </is>
      </c>
      <c r="K78" s="2" t="inlineStr">
        <is>
          <t>PASS</t>
        </is>
      </c>
      <c r="L78" s="2" t="inlineStr">
        <is>
          <t>PASS</t>
        </is>
      </c>
      <c r="M78" s="2" t="inlineStr">
        <is>
          <t>PASS</t>
        </is>
      </c>
      <c r="N78" s="2" t="inlineStr">
        <is>
          <t>—</t>
        </is>
      </c>
      <c r="O78" s="2" t="inlineStr">
        <is>
          <t>PASS</t>
        </is>
      </c>
      <c r="P78" s="2" t="inlineStr">
        <is>
          <t>PASS</t>
        </is>
      </c>
      <c r="Q78" s="2" t="inlineStr">
        <is>
          <t>PASS</t>
        </is>
      </c>
      <c r="R78" s="2" t="inlineStr">
        <is>
          <t>—</t>
        </is>
      </c>
      <c r="S78" s="2" t="inlineStr">
        <is>
          <t>Yes</t>
        </is>
      </c>
      <c r="T78" s="2" t="inlineStr">
        <is>
          <t>Pass</t>
        </is>
      </c>
      <c r="U78" s="2" t="inlineStr">
        <is>
          <t xml:space="preserve">Top Reasons Why: 8/10 Excel items given; missing: Lush 3-Storey Living: Discover spacious and serene; EV Charging Point: Power up your electric vehicle </t>
        </is>
      </c>
    </row>
    <row r="79">
      <c r="A79" s="2" t="n">
        <v>75</v>
      </c>
      <c r="B79" s="2" t="inlineStr">
        <is>
          <t>DAYA Residence</t>
        </is>
      </c>
      <c r="C79" s="2" t="inlineStr">
        <is>
          <t>Pass</t>
        </is>
      </c>
      <c r="D79" s="2" t="inlineStr">
        <is>
          <t>—</t>
        </is>
      </c>
      <c r="E79" s="2" t="inlineStr">
        <is>
          <t>—</t>
        </is>
      </c>
      <c r="F79" s="2" t="inlineStr">
        <is>
          <t>—</t>
        </is>
      </c>
      <c r="G79" s="2" t="inlineStr">
        <is>
          <t>—</t>
        </is>
      </c>
      <c r="H79" s="2" t="inlineStr">
        <is>
          <t>PASS</t>
        </is>
      </c>
      <c r="I79" s="2" t="inlineStr">
        <is>
          <t>PASS</t>
        </is>
      </c>
      <c r="J79" s="2" t="inlineStr">
        <is>
          <t>PASS</t>
        </is>
      </c>
      <c r="K79" s="2" t="inlineStr">
        <is>
          <t>—</t>
        </is>
      </c>
      <c r="L79" s="2" t="inlineStr">
        <is>
          <t>PASS</t>
        </is>
      </c>
      <c r="M79" s="2" t="inlineStr">
        <is>
          <t>PASS</t>
        </is>
      </c>
      <c r="N79" s="2" t="inlineStr">
        <is>
          <t>—</t>
        </is>
      </c>
      <c r="O79" s="2" t="inlineStr">
        <is>
          <t>PASS</t>
        </is>
      </c>
      <c r="P79" s="2" t="inlineStr">
        <is>
          <t>—</t>
        </is>
      </c>
      <c r="Q79" s="2" t="inlineStr">
        <is>
          <t>—</t>
        </is>
      </c>
      <c r="R79" s="2" t="inlineStr">
        <is>
          <t>—</t>
        </is>
      </c>
      <c r="S79" s="2" t="inlineStr">
        <is>
          <t>Yes</t>
        </is>
      </c>
      <c r="T79" s="2" t="inlineStr">
        <is>
          <t>Pass</t>
        </is>
      </c>
      <c r="U79" s="2" t="inlineStr"/>
    </row>
    <row r="80">
      <c r="A80" s="2" t="n">
        <v>76</v>
      </c>
      <c r="B80" s="2" t="inlineStr">
        <is>
          <t>Vila Setara Happy Garden</t>
        </is>
      </c>
      <c r="C80" s="2" t="inlineStr">
        <is>
          <t>Pass</t>
        </is>
      </c>
      <c r="D80" s="2" t="inlineStr">
        <is>
          <t>—</t>
        </is>
      </c>
      <c r="E80" s="2" t="inlineStr">
        <is>
          <t>—</t>
        </is>
      </c>
      <c r="F80" s="2" t="inlineStr">
        <is>
          <t>—</t>
        </is>
      </c>
      <c r="G80" s="2" t="inlineStr">
        <is>
          <t>—</t>
        </is>
      </c>
      <c r="H80" s="2" t="inlineStr">
        <is>
          <t>PASS</t>
        </is>
      </c>
      <c r="I80" s="2" t="inlineStr">
        <is>
          <t>PASS</t>
        </is>
      </c>
      <c r="J80" s="2" t="inlineStr">
        <is>
          <t>—</t>
        </is>
      </c>
      <c r="K80" s="2" t="inlineStr">
        <is>
          <t>—</t>
        </is>
      </c>
      <c r="L80" s="2" t="inlineStr">
        <is>
          <t>PASS</t>
        </is>
      </c>
      <c r="M80" s="2" t="inlineStr">
        <is>
          <t>PASS</t>
        </is>
      </c>
      <c r="N80" s="2" t="inlineStr">
        <is>
          <t>—</t>
        </is>
      </c>
      <c r="O80" s="2" t="inlineStr">
        <is>
          <t>PASS</t>
        </is>
      </c>
      <c r="P80" s="2" t="inlineStr">
        <is>
          <t>—</t>
        </is>
      </c>
      <c r="Q80" s="2" t="inlineStr">
        <is>
          <t>—</t>
        </is>
      </c>
      <c r="R80" s="2" t="inlineStr">
        <is>
          <t>—</t>
        </is>
      </c>
      <c r="S80" s="2" t="inlineStr">
        <is>
          <t>Yes</t>
        </is>
      </c>
      <c r="T80" s="2" t="inlineStr">
        <is>
          <t>Pass</t>
        </is>
      </c>
      <c r="U80" s="2" t="inlineStr"/>
    </row>
    <row r="81">
      <c r="A81" s="2" t="n">
        <v>77</v>
      </c>
      <c r="B81" s="2" t="inlineStr">
        <is>
          <t>E&amp;O – City of Elmina (Laman Embun Commercial)</t>
        </is>
      </c>
      <c r="C81" s="2" t="inlineStr">
        <is>
          <t>Pass</t>
        </is>
      </c>
      <c r="D81" s="2" t="inlineStr">
        <is>
          <t>—</t>
        </is>
      </c>
      <c r="E81" s="2" t="inlineStr">
        <is>
          <t>—</t>
        </is>
      </c>
      <c r="F81" s="2" t="inlineStr">
        <is>
          <t>—</t>
        </is>
      </c>
      <c r="G81" s="2" t="inlineStr">
        <is>
          <t>—</t>
        </is>
      </c>
      <c r="H81" s="2" t="inlineStr">
        <is>
          <t>PASS</t>
        </is>
      </c>
      <c r="I81" s="2" t="inlineStr">
        <is>
          <t>PASS</t>
        </is>
      </c>
      <c r="J81" s="2" t="inlineStr">
        <is>
          <t>PASS</t>
        </is>
      </c>
      <c r="K81" s="2" t="inlineStr">
        <is>
          <t>—</t>
        </is>
      </c>
      <c r="L81" s="2" t="inlineStr">
        <is>
          <t>PASS</t>
        </is>
      </c>
      <c r="M81" s="2" t="inlineStr">
        <is>
          <t>PASS</t>
        </is>
      </c>
      <c r="N81" s="2" t="inlineStr">
        <is>
          <t>—</t>
        </is>
      </c>
      <c r="O81" s="2" t="inlineStr">
        <is>
          <t>PASS</t>
        </is>
      </c>
      <c r="P81" s="2" t="inlineStr">
        <is>
          <t>—</t>
        </is>
      </c>
      <c r="Q81" s="2" t="inlineStr">
        <is>
          <t>—</t>
        </is>
      </c>
      <c r="R81" s="2" t="inlineStr">
        <is>
          <t>—</t>
        </is>
      </c>
      <c r="S81" s="2" t="inlineStr">
        <is>
          <t>Yes</t>
        </is>
      </c>
      <c r="T81" s="2" t="inlineStr">
        <is>
          <t>Pass</t>
        </is>
      </c>
      <c r="U81" s="2" t="inlineStr"/>
    </row>
    <row r="82">
      <c r="A82" s="2" t="n">
        <v>78</v>
      </c>
      <c r="B82" s="2" t="inlineStr">
        <is>
          <t>Aspire office @ KL ecocity</t>
        </is>
      </c>
      <c r="C82" s="2" t="inlineStr">
        <is>
          <t>Pass</t>
        </is>
      </c>
      <c r="D82" s="2" t="inlineStr">
        <is>
          <t>—</t>
        </is>
      </c>
      <c r="E82" s="2" t="inlineStr">
        <is>
          <t>—</t>
        </is>
      </c>
      <c r="F82" s="2" t="inlineStr">
        <is>
          <t>—</t>
        </is>
      </c>
      <c r="G82" s="2" t="inlineStr">
        <is>
          <t>—</t>
        </is>
      </c>
      <c r="H82" s="2" t="inlineStr">
        <is>
          <t>PASS</t>
        </is>
      </c>
      <c r="I82" s="2" t="inlineStr">
        <is>
          <t>PASS</t>
        </is>
      </c>
      <c r="J82" s="2" t="inlineStr">
        <is>
          <t>—</t>
        </is>
      </c>
      <c r="K82" s="2" t="inlineStr">
        <is>
          <t>—</t>
        </is>
      </c>
      <c r="L82" s="2" t="inlineStr">
        <is>
          <t>PASS</t>
        </is>
      </c>
      <c r="M82" s="2" t="inlineStr">
        <is>
          <t>—</t>
        </is>
      </c>
      <c r="N82" s="2" t="inlineStr">
        <is>
          <t>PASS</t>
        </is>
      </c>
      <c r="O82" s="2" t="inlineStr">
        <is>
          <t>PASS</t>
        </is>
      </c>
      <c r="P82" s="2" t="inlineStr">
        <is>
          <t>—</t>
        </is>
      </c>
      <c r="Q82" s="2" t="inlineStr">
        <is>
          <t>—</t>
        </is>
      </c>
      <c r="R82" s="2" t="inlineStr">
        <is>
          <t>—</t>
        </is>
      </c>
      <c r="S82" s="2" t="inlineStr">
        <is>
          <t>Yes</t>
        </is>
      </c>
      <c r="T82" s="2" t="inlineStr">
        <is>
          <t>Pass</t>
        </is>
      </c>
      <c r="U82" s="2" t="inlineStr">
        <is>
          <t>Area: Manual: 'KL Eco City' is the Excel's 'KL ecocity' with different spacing.</t>
        </is>
      </c>
    </row>
    <row r="83">
      <c r="A83" s="2" t="n">
        <v>79</v>
      </c>
      <c r="B83" s="2" t="inlineStr">
        <is>
          <t>The MET, Corporate Tower</t>
        </is>
      </c>
      <c r="C83" s="2" t="inlineStr">
        <is>
          <t>Pass</t>
        </is>
      </c>
      <c r="D83" s="2" t="inlineStr">
        <is>
          <t>—</t>
        </is>
      </c>
      <c r="E83" s="2" t="inlineStr">
        <is>
          <t>—</t>
        </is>
      </c>
      <c r="F83" s="2" t="inlineStr">
        <is>
          <t>—</t>
        </is>
      </c>
      <c r="G83" s="2" t="inlineStr">
        <is>
          <t>—</t>
        </is>
      </c>
      <c r="H83" s="2" t="inlineStr">
        <is>
          <t>PASS</t>
        </is>
      </c>
      <c r="I83" s="2" t="inlineStr">
        <is>
          <t>PASS</t>
        </is>
      </c>
      <c r="J83" s="2" t="inlineStr">
        <is>
          <t>PASS</t>
        </is>
      </c>
      <c r="K83" s="2" t="inlineStr">
        <is>
          <t>—</t>
        </is>
      </c>
      <c r="L83" s="2" t="inlineStr">
        <is>
          <t>PASS</t>
        </is>
      </c>
      <c r="M83" s="2" t="inlineStr">
        <is>
          <t>PASS</t>
        </is>
      </c>
      <c r="N83" s="2" t="inlineStr">
        <is>
          <t>—</t>
        </is>
      </c>
      <c r="O83" s="2" t="inlineStr">
        <is>
          <t>PASS</t>
        </is>
      </c>
      <c r="P83" s="2" t="inlineStr">
        <is>
          <t>—</t>
        </is>
      </c>
      <c r="Q83" s="2" t="inlineStr">
        <is>
          <t>—</t>
        </is>
      </c>
      <c r="R83" s="2" t="inlineStr">
        <is>
          <t>—</t>
        </is>
      </c>
      <c r="S83" s="2" t="inlineStr">
        <is>
          <t>Yes</t>
        </is>
      </c>
      <c r="T83" s="2" t="inlineStr">
        <is>
          <t>Pass</t>
        </is>
      </c>
      <c r="U83" s="2" t="inlineStr"/>
    </row>
    <row r="84">
      <c r="A84" s="2" t="n">
        <v>80</v>
      </c>
      <c r="B84" s="2" t="inlineStr">
        <is>
          <t>Sierra Hijau (Landed)</t>
        </is>
      </c>
      <c r="C84" s="2" t="inlineStr">
        <is>
          <t>Pass</t>
        </is>
      </c>
      <c r="D84" s="2" t="inlineStr">
        <is>
          <t>—</t>
        </is>
      </c>
      <c r="E84" s="2" t="inlineStr">
        <is>
          <t>—</t>
        </is>
      </c>
      <c r="F84" s="2" t="inlineStr">
        <is>
          <t>—</t>
        </is>
      </c>
      <c r="G84" s="2" t="inlineStr">
        <is>
          <t>—</t>
        </is>
      </c>
      <c r="H84" s="2" t="inlineStr">
        <is>
          <t>PASS</t>
        </is>
      </c>
      <c r="I84" s="2" t="inlineStr">
        <is>
          <t>PASS</t>
        </is>
      </c>
      <c r="J84" s="2" t="inlineStr">
        <is>
          <t>—</t>
        </is>
      </c>
      <c r="K84" s="2" t="inlineStr">
        <is>
          <t>PASS</t>
        </is>
      </c>
      <c r="L84" s="2" t="inlineStr">
        <is>
          <t>PASS</t>
        </is>
      </c>
      <c r="M84" s="2" t="inlineStr">
        <is>
          <t>PASS</t>
        </is>
      </c>
      <c r="N84" s="2" t="inlineStr">
        <is>
          <t>—</t>
        </is>
      </c>
      <c r="O84" s="2" t="inlineStr">
        <is>
          <t>PASS</t>
        </is>
      </c>
      <c r="P84" s="2" t="inlineStr">
        <is>
          <t>—</t>
        </is>
      </c>
      <c r="Q84" s="2" t="inlineStr">
        <is>
          <t>—</t>
        </is>
      </c>
      <c r="R84" s="2" t="inlineStr">
        <is>
          <t>—</t>
        </is>
      </c>
      <c r="S84" s="2" t="inlineStr">
        <is>
          <t>Yes</t>
        </is>
      </c>
      <c r="T84" s="2" t="inlineStr">
        <is>
          <t>Pass</t>
        </is>
      </c>
      <c r="U84" s="2" t="inlineStr"/>
    </row>
    <row r="85">
      <c r="A85" s="2" t="n">
        <v>81</v>
      </c>
      <c r="B85" s="2" t="inlineStr">
        <is>
          <t>Melbourne Square</t>
        </is>
      </c>
      <c r="C85" s="2" t="inlineStr">
        <is>
          <t>Pass</t>
        </is>
      </c>
      <c r="D85" s="2" t="inlineStr">
        <is>
          <t>—</t>
        </is>
      </c>
      <c r="E85" s="2" t="inlineStr">
        <is>
          <t>—</t>
        </is>
      </c>
      <c r="F85" s="2" t="inlineStr">
        <is>
          <t>—</t>
        </is>
      </c>
      <c r="G85" s="2" t="inlineStr">
        <is>
          <t>—</t>
        </is>
      </c>
      <c r="H85" s="2" t="inlineStr">
        <is>
          <t>PASS</t>
        </is>
      </c>
      <c r="I85" s="2" t="inlineStr">
        <is>
          <t>PASS</t>
        </is>
      </c>
      <c r="J85" s="2" t="inlineStr">
        <is>
          <t>—</t>
        </is>
      </c>
      <c r="K85" s="2" t="inlineStr">
        <is>
          <t>—</t>
        </is>
      </c>
      <c r="L85" s="2" t="inlineStr">
        <is>
          <t>—</t>
        </is>
      </c>
      <c r="M85" s="2" t="inlineStr">
        <is>
          <t>PASS</t>
        </is>
      </c>
      <c r="N85" s="2" t="inlineStr">
        <is>
          <t>—</t>
        </is>
      </c>
      <c r="O85" s="2" t="inlineStr">
        <is>
          <t>PASS</t>
        </is>
      </c>
      <c r="P85" s="2" t="inlineStr">
        <is>
          <t>—</t>
        </is>
      </c>
      <c r="Q85" s="2" t="inlineStr">
        <is>
          <t>—</t>
        </is>
      </c>
      <c r="R85" s="2" t="inlineStr">
        <is>
          <t>—</t>
        </is>
      </c>
      <c r="S85" s="2" t="inlineStr">
        <is>
          <t>Yes</t>
        </is>
      </c>
      <c r="T85" s="2" t="inlineStr">
        <is>
          <t>Pass</t>
        </is>
      </c>
      <c r="U85" s="2" t="inlineStr">
        <is>
          <t>Total Units: core value matches ("673 units"); the Excel's bracketed or extra wording omitted</t>
        </is>
      </c>
    </row>
    <row r="86">
      <c r="A86" s="2" t="n">
        <v>82</v>
      </c>
      <c r="B86" s="2" t="inlineStr">
        <is>
          <t>Lagenda Tunku (Villa Gemilang)</t>
        </is>
      </c>
      <c r="C86" s="2" t="inlineStr">
        <is>
          <t>Pass</t>
        </is>
      </c>
      <c r="D86" s="2" t="inlineStr">
        <is>
          <t>—</t>
        </is>
      </c>
      <c r="E86" s="2" t="inlineStr">
        <is>
          <t>—</t>
        </is>
      </c>
      <c r="F86" s="2" t="inlineStr">
        <is>
          <t>—</t>
        </is>
      </c>
      <c r="G86" s="2" t="inlineStr">
        <is>
          <t>—</t>
        </is>
      </c>
      <c r="H86" s="2" t="inlineStr">
        <is>
          <t>PASS</t>
        </is>
      </c>
      <c r="I86" s="2" t="inlineStr">
        <is>
          <t>PASS</t>
        </is>
      </c>
      <c r="J86" s="2" t="inlineStr">
        <is>
          <t>PASS</t>
        </is>
      </c>
      <c r="K86" s="2" t="inlineStr">
        <is>
          <t>—</t>
        </is>
      </c>
      <c r="L86" s="2" t="inlineStr">
        <is>
          <t>PASS</t>
        </is>
      </c>
      <c r="M86" s="2" t="inlineStr">
        <is>
          <t>PASS</t>
        </is>
      </c>
      <c r="N86" s="2" t="inlineStr">
        <is>
          <t>PASS</t>
        </is>
      </c>
      <c r="O86" s="2" t="inlineStr">
        <is>
          <t>PASS</t>
        </is>
      </c>
      <c r="P86" s="2" t="inlineStr">
        <is>
          <t>—</t>
        </is>
      </c>
      <c r="Q86" s="2" t="inlineStr">
        <is>
          <t>—</t>
        </is>
      </c>
      <c r="R86" s="2" t="inlineStr">
        <is>
          <t>—</t>
        </is>
      </c>
      <c r="S86" s="2" t="inlineStr">
        <is>
          <t>Yes</t>
        </is>
      </c>
      <c r="T86" s="2" t="inlineStr">
        <is>
          <t>Pass</t>
        </is>
      </c>
      <c r="U86" s="2" t="inlineStr"/>
    </row>
    <row r="87">
      <c r="A87" s="2" t="n">
        <v>83</v>
      </c>
      <c r="B87" s="2" t="inlineStr">
        <is>
          <t>Ashbourne</t>
        </is>
      </c>
      <c r="C87" s="2" t="inlineStr">
        <is>
          <t>Pass</t>
        </is>
      </c>
      <c r="D87" s="2" t="inlineStr">
        <is>
          <t>PASS</t>
        </is>
      </c>
      <c r="E87" s="2" t="inlineStr">
        <is>
          <t>—</t>
        </is>
      </c>
      <c r="F87" s="2" t="inlineStr">
        <is>
          <t>—</t>
        </is>
      </c>
      <c r="G87" s="2" t="inlineStr">
        <is>
          <t>—</t>
        </is>
      </c>
      <c r="H87" s="2" t="inlineStr">
        <is>
          <t>PASS</t>
        </is>
      </c>
      <c r="I87" s="2" t="inlineStr">
        <is>
          <t>PASS</t>
        </is>
      </c>
      <c r="J87" s="2" t="inlineStr">
        <is>
          <t>PASS</t>
        </is>
      </c>
      <c r="K87" s="2" t="inlineStr">
        <is>
          <t>PASS</t>
        </is>
      </c>
      <c r="L87" s="2" t="inlineStr">
        <is>
          <t>PASS</t>
        </is>
      </c>
      <c r="M87" s="2" t="inlineStr">
        <is>
          <t>PASS</t>
        </is>
      </c>
      <c r="N87" s="2" t="inlineStr">
        <is>
          <t>PASS</t>
        </is>
      </c>
      <c r="O87" s="2" t="inlineStr">
        <is>
          <t>PASS</t>
        </is>
      </c>
      <c r="P87" s="2" t="inlineStr">
        <is>
          <t>—</t>
        </is>
      </c>
      <c r="Q87" s="2" t="inlineStr">
        <is>
          <t>PASS</t>
        </is>
      </c>
      <c r="R87" s="2" t="inlineStr">
        <is>
          <t>PASS</t>
        </is>
      </c>
      <c r="S87" s="2" t="inlineStr">
        <is>
          <t>Yes</t>
        </is>
      </c>
      <c r="T87" s="2" t="inlineStr">
        <is>
          <t>Pass</t>
        </is>
      </c>
      <c r="U87" s="2" t="inlineStr"/>
    </row>
  </sheetData>
  <conditionalFormatting sqref="C5:T87">
    <cfRule type="cellIs" priority="1" operator="equal" dxfId="0">
      <formula>"PASS"</formula>
    </cfRule>
    <cfRule type="cellIs" priority="2" operator="equal" dxfId="0">
      <formula>"Pass"</formula>
    </cfRule>
    <cfRule type="cellIs" priority="3" operator="equal" dxfId="1">
      <formula>"PARTIAL"</formula>
    </cfRule>
    <cfRule type="cellIs" priority="4" operator="equal" dxfId="1">
      <formula>"Partial"</formula>
    </cfRule>
    <cfRule type="cellIs" priority="5" operator="equal" dxfId="1">
      <formula>"NOT STATED"</formula>
    </cfRule>
    <cfRule type="cellIs" priority="6" operator="equal" dxfId="2">
      <formula>"DIFFERS"</formula>
    </cfRule>
    <cfRule type="cellIs" priority="7" operator="equal" dxfId="2">
      <formula>"Check"</formula>
    </cfRule>
    <cfRule type="cellIs" priority="8" operator="equal" dxfId="2">
      <formula>"Fail"</formula>
    </cfRule>
    <cfRule type="cellIs" priority="9" operator="equal" dxfId="3">
      <formula>"HELD"</formula>
    </cfRule>
    <cfRule type="cellIs" priority="10" operator="equal" dxfId="4">
      <formula>"Needs ruling"</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5" customWidth="1" min="1" max="1"/>
    <col width="40" customWidth="1" min="2" max="2"/>
    <col width="22" customWidth="1" min="3" max="3"/>
    <col width="14" customWidth="1" min="4" max="4"/>
    <col width="8" customWidth="1" min="5" max="5"/>
  </cols>
  <sheetData>
    <row r="1">
      <c r="A1" s="6" t="inlineStr">
        <is>
          <t>#</t>
        </is>
      </c>
      <c r="B1" s="6" t="inlineStr">
        <is>
          <t>Project</t>
        </is>
      </c>
      <c r="C1" s="6" t="inlineStr">
        <is>
          <t>Run 2 (client test table)</t>
        </is>
      </c>
      <c r="D1" s="6" t="inlineStr">
        <is>
          <t>Run 3 (Excel)</t>
        </is>
      </c>
      <c r="E1" s="6" t="inlineStr">
        <is>
          <t>Same?</t>
        </is>
      </c>
    </row>
    <row r="2">
      <c r="A2" s="7" t="n">
        <v>1</v>
      </c>
      <c r="B2" s="7" t="inlineStr">
        <is>
          <t>Damansara City Residency (DC Residensi)</t>
        </is>
      </c>
      <c r="C2" s="7" t="inlineStr">
        <is>
          <t>Partial</t>
        </is>
      </c>
      <c r="D2" s="7" t="inlineStr">
        <is>
          <t>Pass</t>
        </is>
      </c>
      <c r="E2" s="7" t="inlineStr">
        <is>
          <t>No</t>
        </is>
      </c>
    </row>
    <row r="3">
      <c r="A3" s="7" t="n">
        <v>2</v>
      </c>
      <c r="B3" s="7" t="inlineStr">
        <is>
          <t>PDH: Imperial Residences RA</t>
        </is>
      </c>
      <c r="C3" s="7" t="inlineStr">
        <is>
          <t>Pass</t>
        </is>
      </c>
      <c r="D3" s="7" t="inlineStr">
        <is>
          <t>Pass</t>
        </is>
      </c>
      <c r="E3" s="7" t="inlineStr">
        <is>
          <t>Yes</t>
        </is>
      </c>
    </row>
    <row r="4">
      <c r="A4" s="7" t="n">
        <v>3</v>
      </c>
      <c r="B4" s="7" t="inlineStr">
        <is>
          <t>Bangsar Hill Park</t>
        </is>
      </c>
      <c r="C4" s="7" t="inlineStr">
        <is>
          <t>Pass (differs)</t>
        </is>
      </c>
      <c r="D4" s="7" t="inlineStr">
        <is>
          <t>Pass</t>
        </is>
      </c>
      <c r="E4" s="7" t="inlineStr">
        <is>
          <t>Yes</t>
        </is>
      </c>
    </row>
    <row r="5">
      <c r="A5" s="7" t="n">
        <v>4</v>
      </c>
      <c r="B5" s="7" t="inlineStr">
        <is>
          <t>ViiA Residences</t>
        </is>
      </c>
      <c r="C5" s="7" t="inlineStr">
        <is>
          <t>Pass (differs)</t>
        </is>
      </c>
      <c r="D5" s="7" t="inlineStr">
        <is>
          <t>Pass</t>
        </is>
      </c>
      <c r="E5" s="7" t="inlineStr">
        <is>
          <t>Yes</t>
        </is>
      </c>
    </row>
    <row r="6">
      <c r="A6" s="7" t="n">
        <v>5</v>
      </c>
      <c r="B6" s="7" t="inlineStr">
        <is>
          <t>Enlace Suites @ Pantai Sentral Park</t>
        </is>
      </c>
      <c r="C6" s="7" t="inlineStr">
        <is>
          <t>Pass</t>
        </is>
      </c>
      <c r="D6" s="7" t="inlineStr">
        <is>
          <t>Pass</t>
        </is>
      </c>
      <c r="E6" s="7" t="inlineStr">
        <is>
          <t>Yes</t>
        </is>
      </c>
    </row>
    <row r="7">
      <c r="A7" s="7" t="n">
        <v>6</v>
      </c>
      <c r="B7" s="7" t="inlineStr">
        <is>
          <t>The Lantern Bangsar</t>
        </is>
      </c>
      <c r="C7" s="7" t="inlineStr">
        <is>
          <t>Pass</t>
        </is>
      </c>
      <c r="D7" s="7" t="inlineStr">
        <is>
          <t>Partial</t>
        </is>
      </c>
      <c r="E7" s="7" t="inlineStr">
        <is>
          <t>No</t>
        </is>
      </c>
    </row>
    <row r="8">
      <c r="A8" s="7" t="n">
        <v>7</v>
      </c>
      <c r="B8" s="7" t="inlineStr">
        <is>
          <t>One Eleven Menerung @ Bangsar</t>
        </is>
      </c>
      <c r="C8" s="7" t="inlineStr">
        <is>
          <t>Pass</t>
        </is>
      </c>
      <c r="D8" s="7" t="inlineStr">
        <is>
          <t>Pass</t>
        </is>
      </c>
      <c r="E8" s="7" t="inlineStr">
        <is>
          <t>Yes</t>
        </is>
      </c>
    </row>
    <row r="9">
      <c r="A9" s="7" t="n">
        <v>8</v>
      </c>
      <c r="B9" s="7" t="inlineStr">
        <is>
          <t>Pavilion Damansara Heights</t>
        </is>
      </c>
      <c r="C9" s="7" t="inlineStr">
        <is>
          <t>Pass</t>
        </is>
      </c>
      <c r="D9" s="7" t="inlineStr">
        <is>
          <t>Pass</t>
        </is>
      </c>
      <c r="E9" s="7" t="inlineStr">
        <is>
          <t>Yes</t>
        </is>
      </c>
    </row>
    <row r="10">
      <c r="A10" s="7" t="n">
        <v>9</v>
      </c>
      <c r="B10" s="7" t="inlineStr">
        <is>
          <t>PDH: Royal Suites(RC)</t>
        </is>
      </c>
      <c r="C10" s="7" t="inlineStr">
        <is>
          <t>Pass</t>
        </is>
      </c>
      <c r="D10" s="7" t="inlineStr">
        <is>
          <t>Pass</t>
        </is>
      </c>
      <c r="E10" s="7" t="inlineStr">
        <is>
          <t>Yes</t>
        </is>
      </c>
    </row>
    <row r="11">
      <c r="A11" s="7" t="n">
        <v>10</v>
      </c>
      <c r="B11" s="7" t="inlineStr">
        <is>
          <t>Pinnacle Bangsar Residence</t>
        </is>
      </c>
      <c r="C11" s="7" t="inlineStr">
        <is>
          <t>Pass</t>
        </is>
      </c>
      <c r="D11" s="7" t="inlineStr">
        <is>
          <t>Pass</t>
        </is>
      </c>
      <c r="E11" s="7" t="inlineStr">
        <is>
          <t>Yes</t>
        </is>
      </c>
    </row>
    <row r="12">
      <c r="A12" s="7" t="n">
        <v>11</v>
      </c>
      <c r="B12" s="7" t="inlineStr">
        <is>
          <t>Parkside Residences</t>
        </is>
      </c>
      <c r="C12" s="7" t="inlineStr">
        <is>
          <t>Partial</t>
        </is>
      </c>
      <c r="D12" s="7" t="inlineStr">
        <is>
          <t>Pass</t>
        </is>
      </c>
      <c r="E12" s="7" t="inlineStr">
        <is>
          <t>No</t>
        </is>
      </c>
    </row>
    <row r="13">
      <c r="A13" s="7" t="n">
        <v>12</v>
      </c>
      <c r="B13" s="7" t="inlineStr">
        <is>
          <t>Rhombus</t>
        </is>
      </c>
      <c r="C13" s="7" t="inlineStr">
        <is>
          <t>Pass</t>
        </is>
      </c>
      <c r="D13" s="7" t="inlineStr">
        <is>
          <t>Pass</t>
        </is>
      </c>
      <c r="E13" s="7" t="inlineStr">
        <is>
          <t>Yes</t>
        </is>
      </c>
    </row>
    <row r="14">
      <c r="A14" s="7" t="n">
        <v>13</v>
      </c>
      <c r="B14" s="7" t="inlineStr">
        <is>
          <t>Riana Trees Residences</t>
        </is>
      </c>
      <c r="C14" s="7" t="inlineStr">
        <is>
          <t>Pass</t>
        </is>
      </c>
      <c r="D14" s="7" t="inlineStr">
        <is>
          <t>Pass</t>
        </is>
      </c>
      <c r="E14" s="7" t="inlineStr">
        <is>
          <t>Yes</t>
        </is>
      </c>
    </row>
    <row r="15">
      <c r="A15" s="7" t="n">
        <v>14</v>
      </c>
      <c r="B15" s="7" t="inlineStr">
        <is>
          <t>Residensi 38 Bangsar</t>
        </is>
      </c>
      <c r="C15" s="7" t="inlineStr">
        <is>
          <t>Pass</t>
        </is>
      </c>
      <c r="D15" s="7" t="inlineStr">
        <is>
          <t>Pass</t>
        </is>
      </c>
      <c r="E15" s="7" t="inlineStr">
        <is>
          <t>Yes</t>
        </is>
      </c>
    </row>
    <row r="16">
      <c r="A16" s="7" t="n">
        <v>15</v>
      </c>
      <c r="B16" s="7" t="inlineStr">
        <is>
          <t>Lunar Seputeh</t>
        </is>
      </c>
      <c r="C16" s="7" t="inlineStr">
        <is>
          <t>Pass</t>
        </is>
      </c>
      <c r="D16" s="7" t="inlineStr">
        <is>
          <t>Pass</t>
        </is>
      </c>
      <c r="E16" s="7" t="inlineStr">
        <is>
          <t>Yes</t>
        </is>
      </c>
    </row>
    <row r="17">
      <c r="A17" s="7" t="n">
        <v>16</v>
      </c>
      <c r="B17" s="7" t="inlineStr">
        <is>
          <t>Sentral Suites @ KL Sentral</t>
        </is>
      </c>
      <c r="C17" s="7" t="inlineStr">
        <is>
          <t>Pass</t>
        </is>
      </c>
      <c r="D17" s="7" t="inlineStr">
        <is>
          <t>Pass</t>
        </is>
      </c>
      <c r="E17" s="7" t="inlineStr">
        <is>
          <t>Yes</t>
        </is>
      </c>
    </row>
    <row r="18">
      <c r="A18" s="7" t="n">
        <v>17</v>
      </c>
      <c r="B18" s="7" t="inlineStr">
        <is>
          <t>The Cedar Damansara Heights</t>
        </is>
      </c>
      <c r="C18" s="7" t="inlineStr">
        <is>
          <t>Pass</t>
        </is>
      </c>
      <c r="D18" s="7" t="inlineStr">
        <is>
          <t>Pass</t>
        </is>
      </c>
      <c r="E18" s="7" t="inlineStr">
        <is>
          <t>Yes</t>
        </is>
      </c>
    </row>
    <row r="19">
      <c r="A19" s="7" t="n">
        <v>18</v>
      </c>
      <c r="B19" s="7" t="inlineStr">
        <is>
          <t>Tria Seputeh</t>
        </is>
      </c>
      <c r="C19" s="7" t="inlineStr">
        <is>
          <t>Pass</t>
        </is>
      </c>
      <c r="D19" s="7" t="inlineStr">
        <is>
          <t>Pass</t>
        </is>
      </c>
      <c r="E19" s="7" t="inlineStr">
        <is>
          <t>Yes</t>
        </is>
      </c>
    </row>
    <row r="20">
      <c r="A20" s="7" t="n">
        <v>19</v>
      </c>
      <c r="B20" s="7" t="inlineStr">
        <is>
          <t>d'Brightton titiwangsa</t>
        </is>
      </c>
      <c r="C20" s="7" t="inlineStr">
        <is>
          <t>Pass</t>
        </is>
      </c>
      <c r="D20" s="7" t="inlineStr">
        <is>
          <t>Pass</t>
        </is>
      </c>
      <c r="E20" s="7" t="inlineStr">
        <is>
          <t>Yes</t>
        </is>
      </c>
    </row>
    <row r="21">
      <c r="A21" s="7" t="n">
        <v>20</v>
      </c>
      <c r="B21" s="7" t="inlineStr">
        <is>
          <t>IJM Sierra Hijauan</t>
        </is>
      </c>
      <c r="C21" s="7" t="inlineStr">
        <is>
          <t>Pass</t>
        </is>
      </c>
      <c r="D21" s="7" t="inlineStr">
        <is>
          <t>Pass</t>
        </is>
      </c>
      <c r="E21" s="7" t="inlineStr">
        <is>
          <t>Yes</t>
        </is>
      </c>
    </row>
    <row r="22">
      <c r="A22" s="7" t="n">
        <v>21</v>
      </c>
      <c r="B22" s="7" t="inlineStr">
        <is>
          <t>Puncak Wangsamas Phase 2</t>
        </is>
      </c>
      <c r="C22" s="7" t="inlineStr">
        <is>
          <t>Pass</t>
        </is>
      </c>
      <c r="D22" s="7" t="inlineStr">
        <is>
          <t>Pass</t>
        </is>
      </c>
      <c r="E22" s="7" t="inlineStr">
        <is>
          <t>Yes</t>
        </is>
      </c>
    </row>
    <row r="23">
      <c r="A23" s="7" t="n">
        <v>22</v>
      </c>
      <c r="B23" s="7" t="inlineStr">
        <is>
          <t>The Reya</t>
        </is>
      </c>
      <c r="C23" s="7" t="inlineStr">
        <is>
          <t>Pass</t>
        </is>
      </c>
      <c r="D23" s="7" t="inlineStr">
        <is>
          <t>Pass</t>
        </is>
      </c>
      <c r="E23" s="7" t="inlineStr">
        <is>
          <t>Yes</t>
        </is>
      </c>
    </row>
    <row r="24">
      <c r="A24" s="7" t="n">
        <v>23</v>
      </c>
      <c r="B24" s="7" t="inlineStr">
        <is>
          <t>Padang Residences</t>
        </is>
      </c>
      <c r="C24" s="7" t="inlineStr">
        <is>
          <t>Pass</t>
        </is>
      </c>
      <c r="D24" s="7" t="inlineStr">
        <is>
          <t>Pass</t>
        </is>
      </c>
      <c r="E24" s="7" t="inlineStr">
        <is>
          <t>Yes</t>
        </is>
      </c>
    </row>
    <row r="25">
      <c r="A25" s="7" t="n">
        <v>24</v>
      </c>
      <c r="B25" s="7" t="inlineStr">
        <is>
          <t>Tangen Residences</t>
        </is>
      </c>
      <c r="C25" s="7" t="inlineStr">
        <is>
          <t>Pass</t>
        </is>
      </c>
      <c r="D25" s="7" t="inlineStr">
        <is>
          <t>Pass</t>
        </is>
      </c>
      <c r="E25" s="7" t="inlineStr">
        <is>
          <t>Yes</t>
        </is>
      </c>
    </row>
    <row r="26">
      <c r="A26" s="7" t="n">
        <v>25</v>
      </c>
      <c r="B26" s="7" t="inlineStr">
        <is>
          <t>Miranda Hill @ north kiara by BRDB</t>
        </is>
      </c>
      <c r="C26" s="7" t="inlineStr">
        <is>
          <t>Pass</t>
        </is>
      </c>
      <c r="D26" s="7" t="inlineStr">
        <is>
          <t>Pass</t>
        </is>
      </c>
      <c r="E26" s="7" t="inlineStr">
        <is>
          <t>Yes</t>
        </is>
      </c>
    </row>
    <row r="27">
      <c r="A27" s="7" t="n">
        <v>26</v>
      </c>
      <c r="B27" s="7" t="inlineStr">
        <is>
          <t>Alstonia Hilltop Homes</t>
        </is>
      </c>
      <c r="C27" s="7" t="inlineStr">
        <is>
          <t>Pass</t>
        </is>
      </c>
      <c r="D27" s="7" t="inlineStr">
        <is>
          <t>Pass</t>
        </is>
      </c>
      <c r="E27" s="7" t="inlineStr">
        <is>
          <t>Yes</t>
        </is>
      </c>
    </row>
    <row r="28">
      <c r="A28" s="7" t="n">
        <v>27</v>
      </c>
      <c r="B28" s="7" t="inlineStr">
        <is>
          <t>Binastra Cochrane</t>
        </is>
      </c>
      <c r="C28" s="7" t="inlineStr">
        <is>
          <t>Pass</t>
        </is>
      </c>
      <c r="D28" s="7" t="inlineStr">
        <is>
          <t>Pass</t>
        </is>
      </c>
      <c r="E28" s="7" t="inlineStr">
        <is>
          <t>Yes</t>
        </is>
      </c>
    </row>
    <row r="29">
      <c r="A29" s="7" t="n">
        <v>28</v>
      </c>
      <c r="B29" s="7" t="inlineStr">
        <is>
          <t>Eden BRDB, Taman Duta</t>
        </is>
      </c>
      <c r="C29" s="7" t="inlineStr">
        <is>
          <t>Pass</t>
        </is>
      </c>
      <c r="D29" s="7" t="inlineStr">
        <is>
          <t>Pass</t>
        </is>
      </c>
      <c r="E29" s="7" t="inlineStr">
        <is>
          <t>Yes</t>
        </is>
      </c>
    </row>
    <row r="30">
      <c r="A30" s="7" t="n">
        <v>29</v>
      </c>
      <c r="B30" s="7" t="inlineStr">
        <is>
          <t>Majestic @ Kiara Reserve</t>
        </is>
      </c>
      <c r="C30" s="7" t="inlineStr">
        <is>
          <t>Needs ruling</t>
        </is>
      </c>
      <c r="D30" s="7" t="inlineStr">
        <is>
          <t>Pass</t>
        </is>
      </c>
      <c r="E30" s="7" t="inlineStr">
        <is>
          <t>No</t>
        </is>
      </c>
    </row>
    <row r="31">
      <c r="A31" s="7" t="n">
        <v>30</v>
      </c>
      <c r="B31" s="7" t="inlineStr">
        <is>
          <t>St. Regis Residences Kuala Lumpur</t>
        </is>
      </c>
      <c r="C31" s="7" t="inlineStr">
        <is>
          <t>Needs ruling</t>
        </is>
      </c>
      <c r="D31" s="7" t="inlineStr">
        <is>
          <t>Pass</t>
        </is>
      </c>
      <c r="E31" s="7" t="inlineStr">
        <is>
          <t>No</t>
        </is>
      </c>
    </row>
    <row r="32">
      <c r="A32" s="7" t="n">
        <v>31</v>
      </c>
      <c r="B32" s="7" t="inlineStr">
        <is>
          <t>Aster Hill Sri Petaling</t>
        </is>
      </c>
      <c r="C32" s="7" t="inlineStr">
        <is>
          <t>Needs ruling</t>
        </is>
      </c>
      <c r="D32" s="7" t="inlineStr">
        <is>
          <t>Pass</t>
        </is>
      </c>
      <c r="E32" s="7" t="inlineStr">
        <is>
          <t>No</t>
        </is>
      </c>
    </row>
    <row r="33">
      <c r="A33" s="7" t="n">
        <v>32</v>
      </c>
      <c r="B33" s="7" t="inlineStr">
        <is>
          <t>Exsim Project</t>
        </is>
      </c>
      <c r="C33" s="7" t="inlineStr">
        <is>
          <t>Pass</t>
        </is>
      </c>
      <c r="D33" s="7" t="inlineStr">
        <is>
          <t>Pass</t>
        </is>
      </c>
      <c r="E33" s="7" t="inlineStr">
        <is>
          <t>Yes</t>
        </is>
      </c>
    </row>
    <row r="34">
      <c r="A34" s="7" t="n">
        <v>33</v>
      </c>
      <c r="B34" s="7" t="inlineStr">
        <is>
          <t>Kensho @ Taman Desa</t>
        </is>
      </c>
      <c r="C34" s="7" t="inlineStr">
        <is>
          <t>Pass</t>
        </is>
      </c>
      <c r="D34" s="7" t="inlineStr">
        <is>
          <t>Pass</t>
        </is>
      </c>
      <c r="E34" s="7" t="inlineStr">
        <is>
          <t>Yes</t>
        </is>
      </c>
    </row>
    <row r="35">
      <c r="A35" s="7" t="n">
        <v>34</v>
      </c>
      <c r="B35" s="7" t="inlineStr">
        <is>
          <t>Aetas Taman Desa</t>
        </is>
      </c>
      <c r="C35" s="7" t="inlineStr">
        <is>
          <t>Pass</t>
        </is>
      </c>
      <c r="D35" s="7" t="inlineStr">
        <is>
          <t>Pass</t>
        </is>
      </c>
      <c r="E35" s="7" t="inlineStr">
        <is>
          <t>Yes</t>
        </is>
      </c>
    </row>
    <row r="36">
      <c r="A36" s="7" t="n">
        <v>35</v>
      </c>
      <c r="B36" s="7" t="inlineStr">
        <is>
          <t>Southpoint Residences (IGB )</t>
        </is>
      </c>
      <c r="C36" s="7" t="inlineStr">
        <is>
          <t>Pass</t>
        </is>
      </c>
      <c r="D36" s="7" t="inlineStr">
        <is>
          <t>Pass</t>
        </is>
      </c>
      <c r="E36" s="7" t="inlineStr">
        <is>
          <t>Yes</t>
        </is>
      </c>
    </row>
    <row r="37">
      <c r="A37" s="7" t="n">
        <v>36</v>
      </c>
      <c r="B37" s="7" t="inlineStr">
        <is>
          <t>Park Green at Pavilion Bukit Jalil</t>
        </is>
      </c>
      <c r="C37" s="7" t="inlineStr">
        <is>
          <t>Pass</t>
        </is>
      </c>
      <c r="D37" s="7" t="inlineStr">
        <is>
          <t>Pass</t>
        </is>
      </c>
      <c r="E37" s="7" t="inlineStr">
        <is>
          <t>Yes</t>
        </is>
      </c>
    </row>
    <row r="38">
      <c r="A38" s="7" t="n">
        <v>37</v>
      </c>
      <c r="B38" s="7" t="inlineStr">
        <is>
          <t>OAKA Residences, Bukit Jalil</t>
        </is>
      </c>
      <c r="C38" s="7" t="inlineStr">
        <is>
          <t>Pass</t>
        </is>
      </c>
      <c r="D38" s="7" t="inlineStr">
        <is>
          <t>Pass</t>
        </is>
      </c>
      <c r="E38" s="7" t="inlineStr">
        <is>
          <t>Yes</t>
        </is>
      </c>
    </row>
    <row r="39">
      <c r="A39" s="7" t="n">
        <v>38</v>
      </c>
      <c r="B39" s="7" t="inlineStr">
        <is>
          <t>Senja The Jewel Collection</t>
        </is>
      </c>
      <c r="C39" s="7" t="inlineStr">
        <is>
          <t>Needs ruling</t>
        </is>
      </c>
      <c r="D39" s="7" t="inlineStr">
        <is>
          <t>Pass</t>
        </is>
      </c>
      <c r="E39" s="7" t="inlineStr">
        <is>
          <t>No</t>
        </is>
      </c>
    </row>
    <row r="40">
      <c r="A40" s="7" t="n">
        <v>39</v>
      </c>
      <c r="B40" s="7" t="inlineStr">
        <is>
          <t>18 Madge Uthant</t>
        </is>
      </c>
      <c r="C40" s="7" t="inlineStr">
        <is>
          <t>Needs ruling</t>
        </is>
      </c>
      <c r="D40" s="7" t="inlineStr">
        <is>
          <t>Pass</t>
        </is>
      </c>
      <c r="E40" s="7" t="inlineStr">
        <is>
          <t>No</t>
        </is>
      </c>
    </row>
    <row r="41">
      <c r="A41" s="7" t="n">
        <v>40</v>
      </c>
      <c r="B41" s="7" t="inlineStr">
        <is>
          <t>Aria Luxury Residence @ KLCC</t>
        </is>
      </c>
      <c r="C41" s="7" t="inlineStr">
        <is>
          <t>Partial</t>
        </is>
      </c>
      <c r="D41" s="7" t="inlineStr">
        <is>
          <t>Pass</t>
        </is>
      </c>
      <c r="E41" s="7" t="inlineStr">
        <is>
          <t>No</t>
        </is>
      </c>
    </row>
    <row r="42">
      <c r="A42" s="7" t="n">
        <v>41</v>
      </c>
      <c r="B42" s="7" t="inlineStr">
        <is>
          <t>AT6 Residensi @ Ampang Tengah</t>
        </is>
      </c>
      <c r="C42" s="7" t="inlineStr">
        <is>
          <t>Needs ruling</t>
        </is>
      </c>
      <c r="D42" s="7" t="inlineStr">
        <is>
          <t>Pass</t>
        </is>
      </c>
      <c r="E42" s="7" t="inlineStr">
        <is>
          <t>No</t>
        </is>
      </c>
    </row>
    <row r="43">
      <c r="A43" s="7" t="n">
        <v>42</v>
      </c>
      <c r="B43" s="7" t="inlineStr">
        <is>
          <t>Clouthaus KLCC</t>
        </is>
      </c>
      <c r="C43" s="7" t="inlineStr">
        <is>
          <t>Needs ruling</t>
        </is>
      </c>
      <c r="D43" s="7" t="inlineStr">
        <is>
          <t>Pass</t>
        </is>
      </c>
      <c r="E43" s="7" t="inlineStr">
        <is>
          <t>No</t>
        </is>
      </c>
    </row>
    <row r="44">
      <c r="A44" s="7" t="n">
        <v>43</v>
      </c>
      <c r="B44" s="7" t="inlineStr">
        <is>
          <t>Conlay by E&amp;O</t>
        </is>
      </c>
      <c r="C44" s="7" t="inlineStr">
        <is>
          <t>Needs ruling</t>
        </is>
      </c>
      <c r="D44" s="7" t="inlineStr">
        <is>
          <t>Pass</t>
        </is>
      </c>
      <c r="E44" s="7" t="inlineStr">
        <is>
          <t>No</t>
        </is>
      </c>
    </row>
    <row r="45">
      <c r="A45" s="7" t="n">
        <v>44</v>
      </c>
      <c r="B45" s="7" t="inlineStr">
        <is>
          <t>Core Residence @ TRX</t>
        </is>
      </c>
      <c r="C45" s="7" t="inlineStr">
        <is>
          <t>Needs ruling</t>
        </is>
      </c>
      <c r="D45" s="7" t="inlineStr">
        <is>
          <t>Pass</t>
        </is>
      </c>
      <c r="E45" s="7" t="inlineStr">
        <is>
          <t>No</t>
        </is>
      </c>
    </row>
    <row r="46">
      <c r="A46" s="7" t="n">
        <v>45</v>
      </c>
      <c r="B46" s="7" t="inlineStr">
        <is>
          <t>Dawn KLCC</t>
        </is>
      </c>
      <c r="C46" s="7" t="inlineStr">
        <is>
          <t>Needs ruling</t>
        </is>
      </c>
      <c r="D46" s="7" t="inlineStr">
        <is>
          <t>Pass</t>
        </is>
      </c>
      <c r="E46" s="7" t="inlineStr">
        <is>
          <t>No</t>
        </is>
      </c>
    </row>
    <row r="47">
      <c r="A47" s="7" t="n">
        <v>46</v>
      </c>
      <c r="B47" s="7" t="inlineStr">
        <is>
          <t>Eaton Residences by Sutera @ KLCC</t>
        </is>
      </c>
      <c r="C47" s="7" t="inlineStr">
        <is>
          <t>Needs ruling</t>
        </is>
      </c>
      <c r="D47" s="7" t="inlineStr">
        <is>
          <t>Check</t>
        </is>
      </c>
      <c r="E47" s="7" t="inlineStr">
        <is>
          <t>No</t>
        </is>
      </c>
    </row>
    <row r="48">
      <c r="A48" s="7" t="n">
        <v>47</v>
      </c>
      <c r="B48" s="7" t="inlineStr">
        <is>
          <t>Platinum Face Suite 2 KLCC</t>
        </is>
      </c>
      <c r="C48" s="7" t="inlineStr">
        <is>
          <t>Needs ruling</t>
        </is>
      </c>
      <c r="D48" s="7" t="inlineStr">
        <is>
          <t>Pass</t>
        </is>
      </c>
      <c r="E48" s="7" t="inlineStr">
        <is>
          <t>No</t>
        </is>
      </c>
    </row>
    <row r="49">
      <c r="A49" s="7" t="n">
        <v>48</v>
      </c>
      <c r="B49" s="7" t="inlineStr">
        <is>
          <t>Armani Hallson @ Jalan Ampang</t>
        </is>
      </c>
      <c r="C49" s="7" t="inlineStr">
        <is>
          <t>Needs ruling</t>
        </is>
      </c>
      <c r="D49" s="7" t="inlineStr">
        <is>
          <t>Pass</t>
        </is>
      </c>
      <c r="E49" s="7" t="inlineStr">
        <is>
          <t>No</t>
        </is>
      </c>
    </row>
    <row r="50">
      <c r="A50" s="7" t="n">
        <v>49</v>
      </c>
      <c r="B50" s="7" t="inlineStr">
        <is>
          <t>Orion Residence</t>
        </is>
      </c>
      <c r="C50" s="7" t="inlineStr">
        <is>
          <t>Needs ruling</t>
        </is>
      </c>
      <c r="D50" s="7" t="inlineStr">
        <is>
          <t>Pass</t>
        </is>
      </c>
      <c r="E50" s="7" t="inlineStr">
        <is>
          <t>No</t>
        </is>
      </c>
    </row>
    <row r="51">
      <c r="A51" s="7" t="n">
        <v>50</v>
      </c>
      <c r="B51" s="7" t="inlineStr">
        <is>
          <t>PSQ Pavilion Square</t>
        </is>
      </c>
      <c r="C51" s="7" t="inlineStr">
        <is>
          <t>Needs ruling</t>
        </is>
      </c>
      <c r="D51" s="7" t="inlineStr">
        <is>
          <t>Pass</t>
        </is>
      </c>
      <c r="E51" s="7" t="inlineStr">
        <is>
          <t>No</t>
        </is>
      </c>
    </row>
    <row r="52">
      <c r="A52" s="7" t="n">
        <v>51</v>
      </c>
      <c r="B52" s="7" t="inlineStr">
        <is>
          <t>Katana 2 Residence</t>
        </is>
      </c>
      <c r="C52" s="7" t="inlineStr">
        <is>
          <t>Pass</t>
        </is>
      </c>
      <c r="D52" s="7" t="inlineStr">
        <is>
          <t>Pass</t>
        </is>
      </c>
      <c r="E52" s="7" t="inlineStr">
        <is>
          <t>Yes</t>
        </is>
      </c>
    </row>
    <row r="53">
      <c r="A53" s="7" t="n">
        <v>52</v>
      </c>
      <c r="B53" s="7" t="inlineStr">
        <is>
          <t>The Centrix</t>
        </is>
      </c>
      <c r="C53" s="7" t="inlineStr">
        <is>
          <t>Pass</t>
        </is>
      </c>
      <c r="D53" s="7" t="inlineStr">
        <is>
          <t>Pass</t>
        </is>
      </c>
      <c r="E53" s="7" t="inlineStr">
        <is>
          <t>Yes</t>
        </is>
      </c>
    </row>
    <row r="54">
      <c r="A54" s="7" t="n">
        <v>53</v>
      </c>
      <c r="B54" s="7" t="inlineStr">
        <is>
          <t>Quill Residences KLCC</t>
        </is>
      </c>
      <c r="C54" s="7" t="inlineStr">
        <is>
          <t>Needs ruling</t>
        </is>
      </c>
      <c r="D54" s="7" t="inlineStr">
        <is>
          <t>Pass</t>
        </is>
      </c>
      <c r="E54" s="7" t="inlineStr">
        <is>
          <t>No</t>
        </is>
      </c>
    </row>
    <row r="55">
      <c r="A55" s="7" t="n">
        <v>54</v>
      </c>
      <c r="B55" s="7" t="inlineStr">
        <is>
          <t>Royal Lexis KL</t>
        </is>
      </c>
      <c r="C55" s="7" t="inlineStr">
        <is>
          <t>Pass</t>
        </is>
      </c>
      <c r="D55" s="7" t="inlineStr">
        <is>
          <t>Pass</t>
        </is>
      </c>
      <c r="E55" s="7" t="inlineStr">
        <is>
          <t>Yes</t>
        </is>
      </c>
    </row>
    <row r="56">
      <c r="A56" s="7" t="n">
        <v>55</v>
      </c>
      <c r="B56" s="7" t="inlineStr">
        <is>
          <t>SO Sofitel Residences KLCC</t>
        </is>
      </c>
      <c r="C56" s="7" t="inlineStr">
        <is>
          <t>Pass</t>
        </is>
      </c>
      <c r="D56" s="7" t="inlineStr">
        <is>
          <t>Pass</t>
        </is>
      </c>
      <c r="E56" s="7" t="inlineStr">
        <is>
          <t>Yes</t>
        </is>
      </c>
    </row>
    <row r="57">
      <c r="A57" s="7" t="n">
        <v>56</v>
      </c>
      <c r="B57" s="7" t="inlineStr">
        <is>
          <t>Le Nouvel KLCC</t>
        </is>
      </c>
      <c r="C57" s="7" t="inlineStr">
        <is>
          <t>Pass</t>
        </is>
      </c>
      <c r="D57" s="7" t="inlineStr">
        <is>
          <t>Pass</t>
        </is>
      </c>
      <c r="E57" s="7" t="inlineStr">
        <is>
          <t>Yes</t>
        </is>
      </c>
    </row>
    <row r="58">
      <c r="A58" s="7" t="n">
        <v>57</v>
      </c>
      <c r="B58" s="7" t="inlineStr">
        <is>
          <t>Star Residences KLCC</t>
        </is>
      </c>
      <c r="C58" s="7" t="inlineStr">
        <is>
          <t>Pass</t>
        </is>
      </c>
      <c r="D58" s="7" t="inlineStr">
        <is>
          <t>Pass</t>
        </is>
      </c>
      <c r="E58" s="7" t="inlineStr">
        <is>
          <t>Yes</t>
        </is>
      </c>
    </row>
    <row r="59">
      <c r="A59" s="7" t="n">
        <v>58</v>
      </c>
      <c r="B59" s="7" t="inlineStr">
        <is>
          <t>Jewel by Oxley KLCC</t>
        </is>
      </c>
      <c r="C59" s="7" t="inlineStr">
        <is>
          <t>Pass</t>
        </is>
      </c>
      <c r="D59" s="7" t="inlineStr">
        <is>
          <t>Pass</t>
        </is>
      </c>
      <c r="E59" s="7" t="inlineStr">
        <is>
          <t>Yes</t>
        </is>
      </c>
    </row>
    <row r="60">
      <c r="A60" s="7" t="n">
        <v>59</v>
      </c>
      <c r="B60" s="7" t="inlineStr">
        <is>
          <t>Golden Crown Residence</t>
        </is>
      </c>
      <c r="C60" s="7" t="inlineStr">
        <is>
          <t>Pass</t>
        </is>
      </c>
      <c r="D60" s="7" t="inlineStr">
        <is>
          <t>Pass</t>
        </is>
      </c>
      <c r="E60" s="7" t="inlineStr">
        <is>
          <t>Yes</t>
        </is>
      </c>
    </row>
    <row r="61">
      <c r="A61" s="7" t="n">
        <v>60</v>
      </c>
      <c r="B61" s="7" t="inlineStr">
        <is>
          <t>SWNK Houze @ BBCC (Bukit Bintang City Centre)</t>
        </is>
      </c>
      <c r="C61" s="7" t="inlineStr">
        <is>
          <t>Pass</t>
        </is>
      </c>
      <c r="D61" s="7" t="inlineStr">
        <is>
          <t>Pass</t>
        </is>
      </c>
      <c r="E61" s="7" t="inlineStr">
        <is>
          <t>Yes</t>
        </is>
      </c>
    </row>
    <row r="62">
      <c r="A62" s="7" t="n">
        <v>61</v>
      </c>
      <c r="B62" s="7" t="inlineStr">
        <is>
          <t>Times Square 2 Residences Kuala Lumpur</t>
        </is>
      </c>
      <c r="C62" s="7" t="inlineStr">
        <is>
          <t>Pass</t>
        </is>
      </c>
      <c r="D62" s="7" t="inlineStr">
        <is>
          <t>Pass</t>
        </is>
      </c>
      <c r="E62" s="7" t="inlineStr">
        <is>
          <t>Yes</t>
        </is>
      </c>
    </row>
    <row r="63">
      <c r="A63" s="7" t="n">
        <v>62</v>
      </c>
      <c r="B63" s="7" t="inlineStr">
        <is>
          <t>The Manor KLCC</t>
        </is>
      </c>
      <c r="C63" s="7" t="inlineStr">
        <is>
          <t>Pass</t>
        </is>
      </c>
      <c r="D63" s="7" t="inlineStr">
        <is>
          <t>Pass</t>
        </is>
      </c>
      <c r="E63" s="7" t="inlineStr">
        <is>
          <t>Yes</t>
        </is>
      </c>
    </row>
    <row r="64">
      <c r="A64" s="7" t="n">
        <v>63</v>
      </c>
      <c r="B64" s="7" t="inlineStr">
        <is>
          <t>TRX Residences</t>
        </is>
      </c>
      <c r="C64" s="7" t="inlineStr">
        <is>
          <t>Pass</t>
        </is>
      </c>
      <c r="D64" s="7" t="inlineStr">
        <is>
          <t>Pass</t>
        </is>
      </c>
      <c r="E64" s="7" t="inlineStr">
        <is>
          <t>Yes</t>
        </is>
      </c>
    </row>
    <row r="65">
      <c r="A65" s="7" t="n">
        <v>64</v>
      </c>
      <c r="B65" s="7" t="inlineStr">
        <is>
          <t>The Oval Kuala Lumpur</t>
        </is>
      </c>
      <c r="C65" s="7" t="inlineStr">
        <is>
          <t>Pass</t>
        </is>
      </c>
      <c r="D65" s="7" t="inlineStr">
        <is>
          <t>Pass</t>
        </is>
      </c>
      <c r="E65" s="7" t="inlineStr">
        <is>
          <t>Yes</t>
        </is>
      </c>
    </row>
    <row r="66">
      <c r="A66" s="7" t="n">
        <v>65</v>
      </c>
      <c r="B66" s="7" t="inlineStr">
        <is>
          <t>The Ritz- Carlton Residences</t>
        </is>
      </c>
      <c r="C66" s="7" t="inlineStr">
        <is>
          <t>Pass</t>
        </is>
      </c>
      <c r="D66" s="7" t="inlineStr">
        <is>
          <t>Pass</t>
        </is>
      </c>
      <c r="E66" s="7" t="inlineStr">
        <is>
          <t>Yes</t>
        </is>
      </c>
    </row>
    <row r="67">
      <c r="A67" s="7" t="n">
        <v>66</v>
      </c>
      <c r="B67" s="7" t="inlineStr">
        <is>
          <t>The Stride Office @ BBCC</t>
        </is>
      </c>
      <c r="C67" s="7" t="inlineStr">
        <is>
          <t>Pass</t>
        </is>
      </c>
      <c r="D67" s="7" t="inlineStr">
        <is>
          <t>Pass</t>
        </is>
      </c>
      <c r="E67" s="7" t="inlineStr">
        <is>
          <t>Yes</t>
        </is>
      </c>
    </row>
    <row r="68">
      <c r="A68" s="7" t="n">
        <v>67</v>
      </c>
      <c r="B68" s="7" t="inlineStr">
        <is>
          <t>Rimbun Saujana Residency</t>
        </is>
      </c>
      <c r="C68" s="7" t="inlineStr">
        <is>
          <t>Pass</t>
        </is>
      </c>
      <c r="D68" s="7" t="inlineStr">
        <is>
          <t>Pass</t>
        </is>
      </c>
      <c r="E68" s="7" t="inlineStr">
        <is>
          <t>Yes</t>
        </is>
      </c>
    </row>
    <row r="69">
      <c r="A69" s="7" t="n">
        <v>68</v>
      </c>
      <c r="B69" s="7" t="inlineStr">
        <is>
          <t>Luminar Residence Subang by BRDB</t>
        </is>
      </c>
      <c r="C69" s="7" t="inlineStr">
        <is>
          <t>Pass</t>
        </is>
      </c>
      <c r="D69" s="7" t="inlineStr">
        <is>
          <t>Pass</t>
        </is>
      </c>
      <c r="E69" s="7" t="inlineStr">
        <is>
          <t>Yes</t>
        </is>
      </c>
    </row>
    <row r="70">
      <c r="A70" s="7" t="n">
        <v>69</v>
      </c>
      <c r="B70" s="7" t="inlineStr">
        <is>
          <t>Accent PJ</t>
        </is>
      </c>
      <c r="C70" s="7" t="inlineStr">
        <is>
          <t>Pass</t>
        </is>
      </c>
      <c r="D70" s="7" t="inlineStr">
        <is>
          <t>Pass</t>
        </is>
      </c>
      <c r="E70" s="7" t="inlineStr">
        <is>
          <t>Yes</t>
        </is>
      </c>
    </row>
    <row r="71">
      <c r="A71" s="7" t="n">
        <v>70</v>
      </c>
      <c r="B71" s="7" t="inlineStr">
        <is>
          <t>26 Araville PJ</t>
        </is>
      </c>
      <c r="C71" s="7" t="inlineStr">
        <is>
          <t>Pass</t>
        </is>
      </c>
      <c r="D71" s="7" t="inlineStr">
        <is>
          <t>Pass</t>
        </is>
      </c>
      <c r="E71" s="7" t="inlineStr">
        <is>
          <t>Yes</t>
        </is>
      </c>
    </row>
    <row r="72">
      <c r="A72" s="7" t="n">
        <v>71</v>
      </c>
      <c r="B72" s="7" t="inlineStr">
        <is>
          <t>The Atera, PJ by Paramount Property</t>
        </is>
      </c>
      <c r="C72" s="7" t="inlineStr">
        <is>
          <t>Pass</t>
        </is>
      </c>
      <c r="D72" s="7" t="inlineStr">
        <is>
          <t>Pass</t>
        </is>
      </c>
      <c r="E72" s="7" t="inlineStr">
        <is>
          <t>Yes</t>
        </is>
      </c>
    </row>
    <row r="73">
      <c r="A73" s="7" t="n">
        <v>72</v>
      </c>
      <c r="B73" s="7" t="inlineStr">
        <is>
          <t>Anyara Hills</t>
        </is>
      </c>
      <c r="C73" s="7" t="inlineStr">
        <is>
          <t>Pass</t>
        </is>
      </c>
      <c r="D73" s="7" t="inlineStr">
        <is>
          <t>Pass</t>
        </is>
      </c>
      <c r="E73" s="7" t="inlineStr">
        <is>
          <t>Yes</t>
        </is>
      </c>
    </row>
    <row r="74">
      <c r="A74" s="7" t="n">
        <v>73</v>
      </c>
      <c r="B74" s="7" t="inlineStr">
        <is>
          <t>Yanu Hills @ Bon Estates</t>
        </is>
      </c>
      <c r="C74" s="7" t="inlineStr">
        <is>
          <t>Pass</t>
        </is>
      </c>
      <c r="D74" s="7" t="inlineStr">
        <is>
          <t>Check</t>
        </is>
      </c>
      <c r="E74" s="7" t="inlineStr">
        <is>
          <t>No</t>
        </is>
      </c>
    </row>
    <row r="75">
      <c r="A75" s="7" t="n">
        <v>74</v>
      </c>
      <c r="B75" s="7" t="inlineStr">
        <is>
          <t>Rafflesia @ Hill 4</t>
        </is>
      </c>
      <c r="C75" s="7" t="inlineStr">
        <is>
          <t>Pass</t>
        </is>
      </c>
      <c r="D75" s="7" t="inlineStr">
        <is>
          <t>Pass</t>
        </is>
      </c>
      <c r="E75" s="7" t="inlineStr">
        <is>
          <t>Yes</t>
        </is>
      </c>
    </row>
    <row r="76">
      <c r="A76" s="7" t="n">
        <v>75</v>
      </c>
      <c r="B76" s="7" t="inlineStr">
        <is>
          <t>DAYA Residence</t>
        </is>
      </c>
      <c r="C76" s="7" t="inlineStr">
        <is>
          <t>Pass</t>
        </is>
      </c>
      <c r="D76" s="7" t="inlineStr">
        <is>
          <t>Pass</t>
        </is>
      </c>
      <c r="E76" s="7" t="inlineStr">
        <is>
          <t>Yes</t>
        </is>
      </c>
    </row>
    <row r="77">
      <c r="A77" s="7" t="n">
        <v>76</v>
      </c>
      <c r="B77" s="7" t="inlineStr">
        <is>
          <t>Vila Setara Happy Garden</t>
        </is>
      </c>
      <c r="C77" s="7" t="inlineStr">
        <is>
          <t>Pass</t>
        </is>
      </c>
      <c r="D77" s="7" t="inlineStr">
        <is>
          <t>Pass</t>
        </is>
      </c>
      <c r="E77" s="7" t="inlineStr">
        <is>
          <t>Yes</t>
        </is>
      </c>
    </row>
    <row r="78">
      <c r="A78" s="7" t="n">
        <v>77</v>
      </c>
      <c r="B78" s="7" t="inlineStr">
        <is>
          <t>E&amp;O – City of Elmina (Laman Embun Commercial)</t>
        </is>
      </c>
      <c r="C78" s="7" t="inlineStr">
        <is>
          <t>Pass</t>
        </is>
      </c>
      <c r="D78" s="7" t="inlineStr">
        <is>
          <t>Pass</t>
        </is>
      </c>
      <c r="E78" s="7" t="inlineStr">
        <is>
          <t>Yes</t>
        </is>
      </c>
    </row>
    <row r="79">
      <c r="A79" s="7" t="n">
        <v>78</v>
      </c>
      <c r="B79" s="7" t="inlineStr">
        <is>
          <t>Aspire office @ KL ecocity</t>
        </is>
      </c>
      <c r="C79" s="7" t="inlineStr">
        <is>
          <t>Pass</t>
        </is>
      </c>
      <c r="D79" s="7" t="inlineStr">
        <is>
          <t>Pass</t>
        </is>
      </c>
      <c r="E79" s="7" t="inlineStr">
        <is>
          <t>Yes</t>
        </is>
      </c>
    </row>
    <row r="80">
      <c r="A80" s="7" t="n">
        <v>79</v>
      </c>
      <c r="B80" s="7" t="inlineStr">
        <is>
          <t>The MET, Corporate Tower</t>
        </is>
      </c>
      <c r="C80" s="7" t="inlineStr">
        <is>
          <t>Pass</t>
        </is>
      </c>
      <c r="D80" s="7" t="inlineStr">
        <is>
          <t>Pass</t>
        </is>
      </c>
      <c r="E80" s="7" t="inlineStr">
        <is>
          <t>Yes</t>
        </is>
      </c>
    </row>
    <row r="81">
      <c r="A81" s="7" t="n">
        <v>80</v>
      </c>
      <c r="B81" s="7" t="inlineStr">
        <is>
          <t>Sierra Hijau (Landed)</t>
        </is>
      </c>
      <c r="C81" s="7" t="inlineStr">
        <is>
          <t>Pass</t>
        </is>
      </c>
      <c r="D81" s="7" t="inlineStr">
        <is>
          <t>Pass</t>
        </is>
      </c>
      <c r="E81" s="7" t="inlineStr">
        <is>
          <t>Yes</t>
        </is>
      </c>
    </row>
    <row r="82">
      <c r="A82" s="7" t="n">
        <v>81</v>
      </c>
      <c r="B82" s="7" t="inlineStr">
        <is>
          <t>Melbourne Square</t>
        </is>
      </c>
      <c r="C82" s="7" t="inlineStr">
        <is>
          <t>Pass</t>
        </is>
      </c>
      <c r="D82" s="7" t="inlineStr">
        <is>
          <t>Pass</t>
        </is>
      </c>
      <c r="E82" s="7" t="inlineStr">
        <is>
          <t>Yes</t>
        </is>
      </c>
    </row>
    <row r="83">
      <c r="A83" s="7" t="n">
        <v>82</v>
      </c>
      <c r="B83" s="7" t="inlineStr">
        <is>
          <t>Lagenda Tunku (Villa Gemilang)</t>
        </is>
      </c>
      <c r="C83" s="7" t="inlineStr">
        <is>
          <t>Pass</t>
        </is>
      </c>
      <c r="D83" s="7" t="inlineStr">
        <is>
          <t>Pass</t>
        </is>
      </c>
      <c r="E83" s="7" t="inlineStr">
        <is>
          <t>Yes</t>
        </is>
      </c>
    </row>
    <row r="84">
      <c r="A84" s="7" t="n">
        <v>83</v>
      </c>
      <c r="B84" s="7" t="inlineStr">
        <is>
          <t>Ashbourne</t>
        </is>
      </c>
      <c r="C84" s="7" t="inlineStr">
        <is>
          <t>Pass</t>
        </is>
      </c>
      <c r="D84" s="7" t="inlineStr">
        <is>
          <t>Pass</t>
        </is>
      </c>
      <c r="E84" s="7" t="inlineStr">
        <is>
          <t>Yes</t>
        </is>
      </c>
    </row>
  </sheetData>
  <conditionalFormatting sqref="C2:D84">
    <cfRule type="cellIs" priority="1" operator="equal" dxfId="0">
      <formula>"PASS"</formula>
    </cfRule>
    <cfRule type="cellIs" priority="2" operator="equal" dxfId="0">
      <formula>"Pass"</formula>
    </cfRule>
    <cfRule type="cellIs" priority="3" operator="equal" dxfId="1">
      <formula>"PARTIAL"</formula>
    </cfRule>
    <cfRule type="cellIs" priority="4" operator="equal" dxfId="1">
      <formula>"Partial"</formula>
    </cfRule>
    <cfRule type="cellIs" priority="5" operator="equal" dxfId="1">
      <formula>"NOT STATED"</formula>
    </cfRule>
    <cfRule type="cellIs" priority="6" operator="equal" dxfId="2">
      <formula>"DIFFERS"</formula>
    </cfRule>
    <cfRule type="cellIs" priority="7" operator="equal" dxfId="2">
      <formula>"Check"</formula>
    </cfRule>
    <cfRule type="cellIs" priority="8" operator="equal" dxfId="2">
      <formula>"Fail"</formula>
    </cfRule>
    <cfRule type="cellIs" priority="9" operator="equal" dxfId="3">
      <formula>"HELD"</formula>
    </cfRule>
    <cfRule type="cellIs" priority="10" operator="equal" dxfId="4">
      <formula>"Needs ruling"</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7" customWidth="1" min="1" max="1"/>
    <col width="50" customWidth="1" min="2" max="2"/>
    <col width="12" customWidth="1" min="3" max="3"/>
    <col width="12" customWidth="1" min="4" max="4"/>
    <col width="70" customWidth="1" min="5" max="5"/>
    <col width="70" customWidth="1" min="6" max="6"/>
  </cols>
  <sheetData>
    <row r="1">
      <c r="A1" s="6" t="inlineStr">
        <is>
          <t>Case</t>
        </is>
      </c>
      <c r="B1" s="6" t="inlineStr">
        <is>
          <t>Prompt (sent exactly)</t>
        </is>
      </c>
      <c r="C1" s="6" t="inlineStr">
        <is>
          <t>Run 3</t>
        </is>
      </c>
      <c r="D1" s="6" t="inlineStr">
        <is>
          <t>Run 2</t>
        </is>
      </c>
      <c r="E1" s="6" t="inlineStr">
        <is>
          <t>What the Finder returned</t>
        </is>
      </c>
      <c r="F1" s="6" t="inlineStr">
        <is>
          <t>Verdict notes</t>
        </is>
      </c>
    </row>
    <row r="2">
      <c r="A2" s="2" t="inlineStr">
        <is>
          <t>F9</t>
        </is>
      </c>
      <c r="B2" s="2" t="inlineStr">
        <is>
          <t>Mr Lee, Malaysian, non-bumi, investment for rental yield, KLCC, up to 1.5 million</t>
        </is>
      </c>
      <c r="C2" s="2" t="inlineStr">
        <is>
          <t>Pass</t>
        </is>
      </c>
      <c r="D2" s="2" t="inlineStr">
        <is>
          <t>Pass</t>
        </is>
      </c>
      <c r="E2" s="2" t="inlineStr">
        <is>
          <t>13 matching projects, the same set as runs 1-2: Dawn, SO Sofitel, Eaton, TRX Residences, Quill, Star, Platinum Face Suite 2, The Manor, Aria, Times Square 2, Clouthaus, The Centrix, PSQ. The written shortlist names SO Sofitel, Eaton, Dawn and TRX.</t>
        </is>
      </c>
      <c r="F2" s="2" t="inlineStr">
        <is>
          <t>Unchanged from run 2. d'Brightton titiwangsa still not returned; nothing above RM1.5m.</t>
        </is>
      </c>
    </row>
    <row r="3">
      <c r="A3" s="2" t="inlineStr">
        <is>
          <t>F5</t>
        </is>
      </c>
      <c r="B3" s="2" t="inlineStr">
        <is>
          <t>Madam Wong, Malaysian, non-bumi, own stay, North Kiara, up to 800k</t>
        </is>
      </c>
      <c r="C3" s="2" t="inlineStr">
        <is>
          <t>Pass</t>
        </is>
      </c>
      <c r="D3" s="2" t="inlineStr">
        <is>
          <t>Pass</t>
        </is>
      </c>
      <c r="E3" s="2" t="inlineStr">
        <is>
          <t>2 matching projects: Tangen Residences, Miranda Hill @ north kiara by BRDB</t>
        </is>
      </c>
      <c r="F3" s="2" t="inlineStr">
        <is>
          <t>Unchanged from run 2: exactly the two the MUST requires.</t>
        </is>
      </c>
    </row>
    <row r="4">
      <c r="A4" s="2" t="inlineStr">
        <is>
          <t>F1</t>
        </is>
      </c>
      <c r="B4" s="2" t="inlineStr">
        <is>
          <t>Encik Ali, Malaysian, non-bumi, own stay, Bukit Jalil, budget up to 800k</t>
        </is>
      </c>
      <c r="C4" s="2" t="inlineStr">
        <is>
          <t>Needs ruling</t>
        </is>
      </c>
      <c r="D4" s="2" t="inlineStr">
        <is>
          <t>Needs ruling</t>
        </is>
      </c>
      <c r="E4" s="2" t="inlineStr">
        <is>
          <t>2 matching projects: OAKA Residences, Bukit Jalil (RM750,000), Exsim Project (no price)</t>
        </is>
      </c>
      <c r="F4" s="2" t="inlineStr">
        <is>
          <t>Unchanged from run 2. D-014 still open: RM750,000 is the price-range floor and the cheapest layout is about RM850k. Derek to rule.</t>
        </is>
      </c>
    </row>
    <row r="5">
      <c r="A5" s="2" t="inlineStr">
        <is>
          <t>N2</t>
        </is>
      </c>
      <c r="B5" s="2" t="inlineStr">
        <is>
          <t>Mr Lim, Malaysian, non-bumi, own stay, Bangsar, budget up to 650k</t>
        </is>
      </c>
      <c r="C5" s="2" t="inlineStr">
        <is>
          <t>Pass</t>
        </is>
      </c>
      <c r="D5" s="2" t="inlineStr">
        <is>
          <t>Pass</t>
        </is>
      </c>
      <c r="E5" s="2" t="inlineStr">
        <is>
          <t>4 matching projects: The Lantern, Parkside Residences (RM588,000), Pinnacle Bangsar, Residensi 38 Bangsar</t>
        </is>
      </c>
      <c r="F5" s="2" t="inlineStr">
        <is>
          <t>Unchanged from run 2. Parkside from RM588,000 as the MUST requires; Aspire office not returned.</t>
        </is>
      </c>
    </row>
    <row r="6">
      <c r="A6" s="2" t="inlineStr">
        <is>
          <t>F11</t>
        </is>
      </c>
      <c r="B6" s="2" t="inlineStr">
        <is>
          <t>Lead wants a 3-bedroom in Cheras, around 650k, Malaysian, own stay</t>
        </is>
      </c>
      <c r="C6" s="2" t="inlineStr">
        <is>
          <t>Needs ruling</t>
        </is>
      </c>
      <c r="D6" s="2" t="inlineStr">
        <is>
          <t>Pass</t>
        </is>
      </c>
      <c r="E6" s="2" t="inlineStr">
        <is>
          <t>1 match: Binastra Cochrane (Jalan Cochrane in Cheras), with the note that its prices and bedroom split are not on record and the RM650k budget and 3 bedrooms must be confirmed with sales admin</t>
        </is>
      </c>
      <c r="F6" s="2" t="inlineStr">
        <is>
          <t>CHANGED from run 2 because of this claim: Binastra Cochrane did not exist before, so run 2 returned 'no active projects in Cheras' with next steps. It is in Cheras with no price in the Excel, and the agreed search rule (quick-kayinleong-085) admits unpriced projects to a budget search. Decide whether that is wanted for the client's F11 case; if not, the Excel needs a price for it.</t>
        </is>
      </c>
    </row>
    <row r="7">
      <c r="A7" s="2" t="inlineStr">
        <is>
          <t>F13</t>
        </is>
      </c>
      <c r="B7" s="2" t="inlineStr">
        <is>
          <t>How much is Bangsar Hill Park?</t>
        </is>
      </c>
      <c r="C7" s="2" t="inlineStr">
        <is>
          <t>Needs ruling</t>
        </is>
      </c>
      <c r="D7" s="2" t="inlineStr">
        <is>
          <t>Needs ruling</t>
        </is>
      </c>
      <c r="E7" s="2" t="inlineStr">
        <is>
          <t>RM900 - RM1,000 psf rate, plus sample totals from the KB (917 sqft nett ~RM891,800; 978 sqft nett ~RM898,043)</t>
        </is>
      </c>
      <c r="F7" s="2" t="inlineStr">
        <is>
          <t>Unchanged from run 2. The KB totals' own psf contradicts the RM900-1,000 entry rate. Derek to rule which source wins.</t>
        </is>
      </c>
    </row>
  </sheetData>
  <conditionalFormatting sqref="C2:D7">
    <cfRule type="cellIs" priority="1" operator="equal" dxfId="0">
      <formula>"PASS"</formula>
    </cfRule>
    <cfRule type="cellIs" priority="2" operator="equal" dxfId="0">
      <formula>"Pass"</formula>
    </cfRule>
    <cfRule type="cellIs" priority="3" operator="equal" dxfId="1">
      <formula>"PARTIAL"</formula>
    </cfRule>
    <cfRule type="cellIs" priority="4" operator="equal" dxfId="1">
      <formula>"Partial"</formula>
    </cfRule>
    <cfRule type="cellIs" priority="5" operator="equal" dxfId="1">
      <formula>"NOT STATED"</formula>
    </cfRule>
    <cfRule type="cellIs" priority="6" operator="equal" dxfId="2">
      <formula>"DIFFERS"</formula>
    </cfRule>
    <cfRule type="cellIs" priority="7" operator="equal" dxfId="2">
      <formula>"Check"</formula>
    </cfRule>
    <cfRule type="cellIs" priority="8" operator="equal" dxfId="2">
      <formula>"Fail"</formula>
    </cfRule>
    <cfRule type="cellIs" priority="9" operator="equal" dxfId="3">
      <formula>"HELD"</formula>
    </cfRule>
    <cfRule type="cellIs" priority="10" operator="equal" dxfId="4">
      <formula>"Needs ruling"</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4" customWidth="1" min="1" max="1"/>
    <col width="10" customWidth="1" min="2" max="2"/>
    <col width="55" customWidth="1" min="3" max="3"/>
    <col width="70" customWidth="1" min="4" max="4"/>
    <col width="60" customWidth="1" min="5" max="5"/>
  </cols>
  <sheetData>
    <row r="1">
      <c r="A1" s="6" t="inlineStr">
        <is>
          <t>#</t>
        </is>
      </c>
      <c r="B1" s="6" t="inlineStr">
        <is>
          <t>Severity</t>
        </is>
      </c>
      <c r="C1" s="6" t="inlineStr">
        <is>
          <t>Finding</t>
        </is>
      </c>
      <c r="D1" s="6" t="inlineStr">
        <is>
          <t>Evidence</t>
        </is>
      </c>
      <c r="E1" s="6" t="inlineStr">
        <is>
          <t>Recommended action</t>
        </is>
      </c>
    </row>
    <row r="2">
      <c r="A2" s="2" t="n">
        <v>1</v>
      </c>
      <c r="B2" s="2" t="inlineStr">
        <is>
          <t>Medium</t>
        </is>
      </c>
      <c r="C2" s="2" t="inlineStr">
        <is>
          <t>Eaton Residences: the answer leads with 632 units instead of the Excel's 960</t>
        </is>
      </c>
      <c r="D2" s="2" t="inlineStr">
        <is>
          <t>The client fact sheet (960 units: Tower A 492 + Tower B 468) was in the bot's context. An older sales kit says '52 floors, Total Units: 632units'; the bot stated 632 and gave 960 only as a side note, against the new 'fact sheet is the authority' rule.</t>
        </is>
      </c>
      <c r="E2" s="2" t="inlineStr">
        <is>
          <t>Ask the client which is right (632 may be one tower). If the Excel stands and this recurs, put the fact-sheet values into the project record itself rather than relying on the prompt rule.</t>
        </is>
      </c>
    </row>
    <row r="3">
      <c r="A3" s="2" t="n">
        <v>2</v>
      </c>
      <c r="B3" s="2" t="inlineStr">
        <is>
          <t>Medium</t>
        </is>
      </c>
      <c r="C3" s="2" t="inlineStr">
        <is>
          <t>Yanu Hills: the Excel's Area disagrees with its own Land Title</t>
        </is>
      </c>
      <c r="D3" s="2" t="inlineStr">
        <is>
          <t>Excel Area: 'Taman Melawati, Kuala Lumpur.' Excel Land Title: 'Selangor Individual'. The brochure says Taman Nadayu, Melawati, Selangor, and that is what the bot said.</t>
        </is>
      </c>
      <c r="E3" s="2" t="inlineStr">
        <is>
          <t>Ask the client to confirm the area (Kuala Lumpur or Selangor).</t>
        </is>
      </c>
    </row>
    <row r="4">
      <c r="A4" s="2" t="n">
        <v>3</v>
      </c>
      <c r="B4" s="2" t="inlineStr">
        <is>
          <t>Low</t>
        </is>
      </c>
      <c r="C4" s="2" t="inlineStr">
        <is>
          <t>The Lantern Bangsar: layout labels differ from the Excel</t>
        </is>
      </c>
      <c r="D4" s="2" t="inlineStr">
        <is>
          <t>Excel: 'Type A: 570 sf'. The bot: 'Type A1: 570 sq ft' plus a 'Type A2: 561 sq ft' that is not in the Excel. Claim 096 already flagged Lantern's near-duplicate Type A / A1 layouts.</t>
        </is>
      </c>
      <c r="E4" s="2" t="inlineStr">
        <is>
          <t>Ask the client whether Type A, A1 and A2 are separate layouts.</t>
        </is>
      </c>
    </row>
    <row r="5">
      <c r="A5" s="2" t="n">
        <v>4</v>
      </c>
      <c r="B5" s="2" t="inlineStr">
        <is>
          <t>High (client data)</t>
        </is>
      </c>
      <c r="C5" s="2" t="inlineStr">
        <is>
          <t>The Excel's Developer column is still shifted in rows 91-93 and 114-125</t>
        </is>
      </c>
      <c r="D5" s="2" t="inlineStr">
        <is>
          <t>Each of those cells holds a neighbouring project's developer (e.g. St. Regis shows 'UOA Development Bhd'). Answers now state the Excel's value, so these rows PASS against the Excel while being wrong in the real world.</t>
        </is>
      </c>
      <c r="E5" s="2" t="inlineStr">
        <is>
          <t>Ask the client to correct those Developer cells; re-import with the same pipeline afterwards.</t>
        </is>
      </c>
    </row>
    <row r="6">
      <c r="A6" s="2" t="n">
        <v>5</v>
      </c>
      <c r="B6" s="2" t="inlineStr">
        <is>
          <t>Info</t>
        </is>
      </c>
      <c r="C6" s="2" t="inlineStr">
        <is>
          <t>Search case F11 changed because of the new Binastra Cochrane</t>
        </is>
      </c>
      <c r="D6" s="2" t="inlineStr">
        <is>
          <t>Binastra Cochrane is in Cheras with no price in the Excel; the agreed search rule (quick-kayinleong-085) admits unpriced projects to a budget search, so the 3-bedroom/RM650k Cheras lead now gets it, with a note to confirm price and bedrooms.</t>
        </is>
      </c>
      <c r="E6" s="2" t="inlineStr">
        <is>
          <t>Decide whether unpriced projects should appear for budgeted leads, or ask the client for Binastra Cochrane's prices.</t>
        </is>
      </c>
    </row>
    <row r="7">
      <c r="A7" s="2" t="n">
        <v>6</v>
      </c>
      <c r="B7" s="2" t="inlineStr">
        <is>
          <t>Info</t>
        </is>
      </c>
      <c r="C7" s="2" t="inlineStr">
        <is>
          <t>Values held back from the import (HELD)</t>
        </is>
      </c>
      <c r="D7" s="2" t="inlineStr">
        <is>
          <t>23 values in HELD-BACK.md (claim 096) were not loaded pending the client's confirmation; 8 cells in this test touch them and are not scored.</t>
        </is>
      </c>
      <c r="E7" s="2" t="inlineStr">
        <is>
          <t>Send HELD-BACK.md to the client.</t>
        </is>
      </c>
    </row>
    <row r="8">
      <c r="A8" s="2" t="n">
        <v>7</v>
      </c>
      <c r="B8" s="2" t="inlineStr">
        <is>
          <t>Info</t>
        </is>
      </c>
      <c r="C8" s="2" t="inlineStr">
        <is>
          <t>Exsim Project has no facts in the Excel</t>
        </is>
      </c>
      <c r="D8" s="2" t="inlineStr">
        <is>
          <t>Its row has no usable values, so there is no fact sheet (the only project without one) and nothing to score.</t>
        </is>
      </c>
      <c r="E8" s="2" t="inlineStr">
        <is>
          <t>None unless the client adds details.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7" customWidth="1" min="1" max="1"/>
    <col width="36" customWidth="1" min="2" max="2"/>
    <col width="9" customWidth="1" min="3" max="3"/>
    <col width="9" customWidth="1" min="4" max="4"/>
    <col width="140" customWidth="1" min="5" max="5"/>
  </cols>
  <sheetData>
    <row r="1">
      <c r="A1" s="6" t="inlineStr">
        <is>
          <t>ID</t>
        </is>
      </c>
      <c r="B1" s="6" t="inlineStr">
        <is>
          <t>Project / case</t>
        </is>
      </c>
      <c r="C1" s="6" t="inlineStr">
        <is>
          <t>Seconds</t>
        </is>
      </c>
      <c r="D1" s="6" t="inlineStr">
        <is>
          <t>Finish</t>
        </is>
      </c>
      <c r="E1" s="6" t="inlineStr">
        <is>
          <t>Answer (as returned)</t>
        </is>
      </c>
    </row>
    <row r="2">
      <c r="A2" s="2" t="inlineStr">
        <is>
          <t>S-F9</t>
        </is>
      </c>
      <c r="B2" s="2" t="inlineStr">
        <is>
          <t>S-F9</t>
        </is>
      </c>
      <c r="C2" s="2" t="n">
        <v>16.2</v>
      </c>
      <c r="D2" s="2" t="inlineStr">
        <is>
          <t>stop</t>
        </is>
      </c>
      <c r="E2" s="2" t="inlineStr">
        <is>
          <t>{
  "matches": [
    {
      "projectId": "LFQ1wAO6pY3cjZRfBrFd",
      "name": "SO Sofitel Residences KLCC",
      "rationale": "VP is completed, making this project immediately yield-ready for rental income. Prime position just 250m from KLCC Park offers high tenant demand.",
      "highlight": "VP completed; 250m walk to KLCC &amp; KLCC Park",
      "matchedCriteria": {
        "nationality": "malaysian",
        "bumiputera": false,
        "locationPref": "KLCC",
        "priceMax": 1500000,
        "segment": "investment"
      }
    },
    {
      "projectId": "A7h6tCOPvghxPHW1l5JA",
      "name": "Eaton Residences by Sutera @ KLCC",
      "rationale": "Completed VP unit priced at RM1,148,750 on Jalan Kia Peng, well within budget for immediate rental deployment.",
      "highlight": "VP completed; located on Jalan Kia Peng, KLCC",
      "matchedCriteria": {
        "nationality": "malaysian",
        "bumiputera": false,
        "locationPref": "KLCC",
        "priceMax": 1500000,
        "segment": "investment"
      }
    },
    {
      "projectId": "2XuDf0Kw7ebp92Z4CMaP",
      "name": "Dawn KLCC",
      "rationale": "Priced at RM1,270,000, this freehold development sits 385m from the Petronas Twin Towers for strong long-term capital appreciation and future rental appeal.",
      "highlight": "Freehold property 385m from KLCC Twin Towers",
      "matchedCriteria": {
        "nationality": "malaysian",
        "bumiputera": false,
        "locationPref": "KLCC",
        "priceMax": 1500000,
        "segment": "investment"
      }
    },
    {
      "projectId": "DFZ9QGqJWkwcAfktHGBK",
      "name": "TRX Residences",
      "rationale": "Completed VP unit starting at RM1,032,000 in Tun Razak Exchange, offering strong tenancy prospects from the surrounding financial district.",
      "highlight": "VP completed freehold in Tun Razak Exchange district",
      "matchedCriteria": {
        "nationality": "malaysian",
        "bumiputera": false,
        "locationPref": "KLCC",
        "priceMax": 1500000,
        "segment": "investment"
      }
    }
  ]
}</t>
        </is>
      </c>
    </row>
    <row r="3">
      <c r="A3" s="2" t="inlineStr">
        <is>
          <t>S-F5</t>
        </is>
      </c>
      <c r="B3" s="2" t="inlineStr">
        <is>
          <t>S-F5</t>
        </is>
      </c>
      <c r="C3" s="2" t="n">
        <v>12.5</v>
      </c>
      <c r="D3" s="2" t="inlineStr">
        <is>
          <t>stop</t>
        </is>
      </c>
      <c r="E3" s="2" t="inlineStr">
        <is>
          <t>{
  "matches": [
    {
      "projectId": "QZL9WpMOxZ07JHxSl54P",
      "name": "Tangen Residences",
      "rationale": "Freehold development in North Kiara starting from RM659,000, offering spacious 3-bedroom family layouts (1,033–1,582 sqft) ideal for own stay with convenient access to Desa ParkCity and Mont Kiara.",
      "matchedCriteria": {
        "priceMax": 800000,
        "segment": "own_stay",
        "nationality": "malaysian",
        "bumiputera": false,
        "locationPref": "North Kiara"
      },
      "highlight": "Freehold 3-bedroom units from RM659k, 5 mins to Desa ParkCity &amp; Mont Kiara"
    },
    {
      "projectId": "02F5tLppdnsZhpipbowa",
      "name": "Miranda Hill @ north kiara by BRDB",
      "rationale": "Premium BRDB freehold development in North Kiara starting from RM730,250 (943–3,584 sqft), situated 3 streets from Publika Mall and opposite the French School.",
      "matchedCriteria": {
        "priceMax": 800000,
        "segment": "own_stay",
        "nationality": "malaysian",
        "bumiputera": false,
        "locationPref": "North Kiara"
      },
      "highlight": "Freehold residence by BRDB near Publika &amp; French School from RM730k"
    }
  ]
}</t>
        </is>
      </c>
    </row>
    <row r="4">
      <c r="A4" s="2" t="inlineStr">
        <is>
          <t>S-F1</t>
        </is>
      </c>
      <c r="B4" s="2" t="inlineStr">
        <is>
          <t>S-F1</t>
        </is>
      </c>
      <c r="C4" s="2" t="n">
        <v>19.7</v>
      </c>
      <c r="D4" s="2" t="inlineStr">
        <is>
          <t>stop</t>
        </is>
      </c>
      <c r="E4" s="2" t="inlineStr">
        <is>
          <t>{
  "matches": [
    {
      "projectId": "vTsTFUTt5BYDltcvqEs2",
      "name": "OAKA Residences, Bukit Jalil",
      "rationale": "Freehold own-stay option in Bukit Jalil with units from 882 to 1,423 sq.ft. priced at RM750,000, fitting Encik Ali's RM800,000 budget. Project ID: vTsTFUTt5BYDltcvqEs2",
      "matchedCriteria": {
        "bedrooms": null,
        "bumiputera": false,
        "locationPref": "Bukit Jalil",
        "nationality": "malaysian",
        "priceMax": 800000,
        "segment": "own_stay"
      },
      "highlight": "Freehold residential development 1.5km from Pavilion Bukit Jalil"
    },
    {
      "projectId": "gmyjno668zbpf7wEoefH",
      "name": "Exsim Project",
      "rationale": "Development covering KL South including Bukit Jalil; total pricing is not currently on record. Project ID: gmyjno668zbpf7wEoefH",
      "matchedCriteria": {
        "bedrooms": null,
        "bumiputera": false,
        "locationPref": "Bukit Jalil",
        "nationality": "malaysian",
        "priceMax": null,
        "segment": "own_stay"
      }
    }
  ]
}</t>
        </is>
      </c>
    </row>
    <row r="5">
      <c r="A5" s="2" t="inlineStr">
        <is>
          <t>S-N2</t>
        </is>
      </c>
      <c r="B5" s="2" t="inlineStr">
        <is>
          <t>S-N2</t>
        </is>
      </c>
      <c r="C5" s="2" t="n">
        <v>13.2</v>
      </c>
      <c r="D5" s="2" t="inlineStr">
        <is>
          <t>stop</t>
        </is>
      </c>
      <c r="E5" s="2" t="inlineStr">
        <is>
          <t>{
  "matches": [
    {
      "highlight": "400m to Bangsar LRT, entry price from RM588k",
      "matchedCriteria": {
        "bedrooms": null,
        "bumiputera": false,
        "locationPref": "Bangsar",
        "nationality": "malaysian",
        "priceMax": 650000,
        "segment": "own_stay"
      },
      "name": "Parkside Residences",
      "projectId": "bWOuyI6cNAna1nweLHkC",
      "rationale": "Priced from RM588,000, this option fits comfortably within Mr Lim's RM650,000 budget. Located on Jalan Bangsar just 400m from the Bangsar LRT station, it offers strong transit accessibility for own-stay living."
    },
    {
      "highlight": "Freehold property on Jalan Abdullah, Bangsar",
      "matchedCriteria": {
        "bedrooms": null,
        "bumiputera": false,
        "locationPref": "Bangsar",
        "nationality": "malaysian",
        "priceMax": null,
        "segment": "own_stay"
      },
      "name": "The Lantern Bangsar",
      "projectId": "jjz7hgG3QG0mY3moUj1V",
      "rationale": "A freehold residential development in central Bangsar (Jalan Abdullah) with compact layouts starting from 561 sqft suitable for an own-stay buyer. Detailed layout pricing is pending release on record."
    },
    {
      "highlight": "Completed leasehold project near Bangsar LRT",
      "matchedCriteria": {
        "bedrooms": null,
        "bumiputera": false,
        "locationPref": "Bangsar",
        "nationality": "malaysian",
        "priceMax": null,
        "segment": "own_stay"
      },
      "name": "Residensi 38 Bangsar",
      "projectId": "QiQthTM3nC4SqWnST1Q6",
      "rationale": "A completed development in Bangsar featuring unit sizes from 580 sqft, offering immediate move-in availability close to public transit."
    }
  ]
}</t>
        </is>
      </c>
    </row>
    <row r="6">
      <c r="A6" s="2" t="inlineStr">
        <is>
          <t>S-F11</t>
        </is>
      </c>
      <c r="B6" s="2" t="inlineStr">
        <is>
          <t>S-F11</t>
        </is>
      </c>
      <c r="C6" s="2" t="n">
        <v>9.9</v>
      </c>
      <c r="D6" s="2" t="inlineStr">
        <is>
          <t>stop</t>
        </is>
      </c>
      <c r="E6" s="2" t="inlineStr">
        <is>
          <t>{
  "matches": [
    {
      "projectId": "lYok7RdyP2P2PUZCIpX2",
      "name": "Binastra Cochrane",
      "rationale": "Located on Jalan Cochrane in Cheras (Project ID: lYok7RdyP2P2PUZCIpX2), this freehold development suits an own-stay profile in the desired location. Note that exact unit prices and layout bedroom splits are not yet published on record, so compliance with the RM650k budget and 3-bedroom availability should be confirmed directly with sales admin.",
      "matchedCriteria": {
        "bedrooms": null,
        "bumiputera": null,
        "financingNote": null,
        "locationPref": "Cheras",
        "monthlyIncome": null,
        "nationality": "malaysian",
        "priceMax": null,
        "priceMin": null,
        "segment": "own_stay",
        "tenurePref": null
      },
      "highlight": "Freehold development located along Jalan Cochrane, Cheras"
    }
  ]
}</t>
        </is>
      </c>
    </row>
    <row r="7">
      <c r="A7" s="2" t="inlineStr">
        <is>
          <t>S-F13</t>
        </is>
      </c>
      <c r="B7" s="2" t="inlineStr">
        <is>
          <t>S-F13</t>
        </is>
      </c>
      <c r="C7" s="2" t="n">
        <v>22.1</v>
      </c>
      <c r="D7" s="2" t="inlineStr">
        <is>
          <t>stop</t>
        </is>
      </c>
      <c r="E7" s="2" t="inlineStr">
        <is>
          <t>{
  "answer": "**Bangsar Hill Park** is priced at an average rate of **RM900 to RM1,000 psf** [KB:s8XnAtUiahpkUmMatgzi]. Total unit prices range from approximately **RM890,000 to RM1,140,000+** depending on layout size and rebates.\n\n### Layout Sizes &amp; Sample Pricing\n* **917 sqft** (2 Bed, 2 Bath): SPA Price ~RM1,000,000 | **Nett Price ~RM891,800** (~RM972 psf) [KB:hkQltVRgwAOLqwneDflx]\n* **978 sqft** (2+1 Bed, 2 Bath): SPA Price ~RM1,007,000 | **Nett Price ~RM898,043** (~RM918 psf) [KB:FOcBd7dMZh2pU5cUZ0N0]\n* **1,372 sqft** (3+1 Bed, 4 Bath, Dual-key ready)\n* **1,407 sqft** (3+1 Bed, 4 Bath, Dual-key ready)\n* **1,435 sqft** (3+1 Bed, 4 Bath, Dual-key ready)\n* **1,478 sqft** (3+1 Bed, 4 Bath, Dual-key ready): SPA Price ~RM1,275,000 | **Nett Price ~RM1,137,045** (~RM769 psf) [KB:FOcBd7dMZh2pU5cUZ0N0]\n\n### Money &amp; Key Facts\n* **PSF Rate:** RM900 – RM1,000 psf [KB:s8XnAtUiahpkUmMatgzi]\n* **Maintenance Fee:** RM0.39 psf (inclusive of sinking fund) [KB:syN8b9dL0wtwXSRuVzCM]\n* **Car Parks:** 2 car parks included (tandem; side-by-side for units above Level 40)\n* **Developer Absorbed:** Free SPA &amp; LA legal fees, disbursement fee, and foreign consent fee"
}</t>
        </is>
      </c>
    </row>
    <row r="8">
      <c r="A8" s="2" t="inlineStr">
        <is>
          <t>P01</t>
        </is>
      </c>
      <c r="B8" s="2" t="inlineStr">
        <is>
          <t>Damansara City Residency (DC Residensi)</t>
        </is>
      </c>
      <c r="C8" s="2" t="n">
        <v>37.6</v>
      </c>
      <c r="D8" s="2" t="inlineStr">
        <is>
          <t>stop</t>
        </is>
      </c>
      <c r="E8" s="2" t="inlineStr">
        <is>
          <t>{
  "answer": "Here are the full project details and layout breakdown for **Damansara City Residency (DC Residensi)** [Project ID: UI9V4ibcLUMuYQkd5lQK]:\n\n### General Overview\n- **Area:** Damansara Height [KB:CIKranAwbfLVv6G0jnzn]\n- **Developer:** Damansara City Sdn Bhd (a subsidiary of GuocoLand Malaysia) [KB:CIKranAwbfLVv6G0jnzn]\n- **Land Title:** Commercial (HDA) [KB:CIKranAwbfLVv6G0jnzn]\n- **Tenure:** Freehold [KB:CIKranAwbfLVv6G0jnzn]\n- **Maintenance Fee:** RM0.65 psf (inclusive of sinking fund) [KB:CIKranAwbfLVv6G0jnzn]\n- **Total Units:** 370 [KB:CIKranAwbfLVv6G0jnzn]\n- **Total Floors / Storeys:** 27 Storeys [KB:CIKranAwbfLVv6G0jnzn]\n- **Completion / Vacant Possession Date:** 2017 — Ready to Move In [KB:CIKranAwbfLVv6G0jnzn]\n- **Top Reasons to Buy:** Not on record (please check with D2 sales admin)\n- **Furnishing &amp; Finishes:** Poggenpohl German kitchen cabinetry, Miele / Bosch German appliances, Gessi Emporio Italian sanitary fittings, Marble flooring and walnut parquet flooring [KB:kn1I79YOvxo9ZE6GYjlX]\n- **Car Park Allocation:** [KB:kn1I79YOvxo9ZE6GYjlX]\n  - 1 Bedroom: 1 bay\n  - 1+1 Bedrooms: 1 bay\n  - 2+1 Bedrooms: 2 bays\n  - 3+1 Bedrooms: 3 bays\n  - Penthouses: 5 bays\n\n---\n\n### Layout Breakdown\n\n| Layout | Size | Bedrooms | Nett Price | Gross Price | Status |\n|---|---|---|---|---|---|\n| **Type S1** | 904 sq ft / 84 sqm | 1 Bedroom | RM1.2mil - RM1.35mil | RM1.75mil - RM1.8mil | Available [KB:ndRpoK1NlOAGROrt1Vc9] |\n| **Type A1** | 1,163 sq ft / 108 sqm | 1 Bedroom + 1 | N/A | N/A | **Sold out** [KB:ndRpoK1NlOAGROrt1Vc9] |\n| **Type A2** | 1,152 sq ft / 107 sqm | 1 Bedroom + 1 | N/A | N/A | **Sold out** [KB:ndRpoK1NlOAGROrt1Vc9] |\n| **Type A3** | 1,194 sq ft / 111 sqm | 1 Bedroom + 1 | RM1.36mil - RM1.46mil | RM2mil - RM2.1mil | Available [KB:ndRpoK1NlOAGROrt1Vc9] |\n| **Type B1** | 1,668 sq ft / 155 sqm | 2 Bedrooms + 1 | N/A | N/A | **Sold out** [KB:ndRpoK1NlOAGROrt1Vc9] |\n| **Type B2** | 1,851 sq ft / 172 sqm | 2 Bedrooms + 1 + 1 | N/A | N/A | **Sold out** [KB:ndRpoK1NlOAGROrt1Vc9] |\n| **Type B3** | 1,862 sq ft / 173 sqm | 2 Bedrooms + 1 + 1 | N/A | N/A | **Sold out** [KB:ndRpoK1NlOAGROrt1Vc9] |\n| **Type C1** | 2,077 sq ft / 193 sqm | 3 Bedrooms + 1 | N/A | N/A | **Sold out** [KB:ndRpoK1NlOAGROrt1Vc9] |\n| **Type E1** | Size not confirmed | 3 Bedrooms + 1+1 | N/A | N/A | **Sold out** [KB:NsEwH2gJIvjYiNAe8lO2] |\n| **Type S2** | 904 sq ft / 84 sqm | 1 Bedroom | RM1.2mil - RM1.35mil | RM1.75mil - RM1.8mil | Available [KB:NsEwH2gJIvjYiNAe8lO2] |\n| **Type A4** | 1,184 sq ft / 110 sqm | 1 Bedroom + 1 | N/A | N/A | **Sold out** [KB:NsEwH2gJIvjYiNAe8lO2] |\n| **Type A5** | 1,163 sq ft / 108 sqm | 1 Bedroom + 1 | N/A | N/A | **Sold out** [KB:NsEwH2gJIvjYiNAe8lO2] |\n| **Type A6** | 1,152 sq ft / 107 sqm | 1 Bedroom + 1 | N/A | N/A | **Sold out** [KB:NsEwH2gJIvjYiNAe8lO2] |\n| **Type B4** | 1,765 sq ft / 164 sqm | 2 Bedroom + 1 | N/A | N/A | **Sold out** [KB:NsEwH2gJIvjYiNAe8lO2] |\n| **Type B5** | 1,668 sq ft / 155 sqm | 2 Bedroom + 1 | N/A | N/A | **Sold out** [KB:NsEwH2gJIvjYiNAe8lO2] |\n| **Type B6** | 1,851 sq ft / 172 sqm | 2 Bedroom + 1 | N/A | N/A | **Sold out** [KB:NsEwH2gJIvjYiNAe8lO2] |\n| **Type B7** | 1,862 sq ft / 173 sqm | 2 Bedroom + 1 | N/A | N/A | **Sold out** [KB:SWUwZ4I0W2P12HzOFtlE] |\n| **Type E2** | 2,982 sq ft / 277 sqm | 3 Bedroom + 1 | Not on record | Not on record | Available [KB:SWUwZ4I0W2P12HzOFtlE] |"
}</t>
        </is>
      </c>
    </row>
    <row r="9">
      <c r="A9" s="2" t="inlineStr">
        <is>
          <t>P02</t>
        </is>
      </c>
      <c r="B9" s="2" t="inlineStr">
        <is>
          <t>PDH: Imperial Residences RA</t>
        </is>
      </c>
      <c r="C9" s="2" t="n">
        <v>32.9</v>
      </c>
      <c r="D9" s="2" t="inlineStr">
        <is>
          <t>stop</t>
        </is>
      </c>
      <c r="E9" s="2" t="inlineStr">
        <is>
          <t>{
  "answer": "### Project Details: PDH: Imperial Residences RA (Project ID: WsCKdwpNCvFwHy5cHTH6)\n\n- **Area:** Damansara Heights [KB:5Dplw17VeIjwSRjP4qlk]\n- **Developer:** 1 Pavilion Group (Jendela Mayang Sdn Bhd)\n- **Land Title:** Commercial (HDA) [KB:5Dplw17VeIjwSRjP4qlk]\n- **Tenure:** Freehold\n- **Maintenance Fee:** Approx. RM0.88 psf (estimated) [KB:5Dplw17VeIjwSRjP4qlk]\n- **Total Units:** Not on record\n- **Total Floors:** Not on record\n- **Completion / Vacant Possession Date:** Target Q4 2029 (Forecasted 52 months from SPA date) [KB:5Dplw17VeIjwSRjP4qlk]\n\n---\n\n### Layout Breakdown\n\n| Type | Size | Bedrooms | Nett Price | Gross Price | Status |\n|---|---|---|---|---|---|\n| **Type H1 (North Wing)** | 3,380 sq.ft. | 4+1 Bedrooms | RM5.05 mil – RM7.15 mil | RM5.47 mil – RM7.75 mil | Available |\n| **Type H1A (South Wing)** | 3,380 sq.ft. | 4+1 Bedrooms (3 rooms + Studio Dual Key) | Not on record (under review) | RM5.17 mil – RM7.15 mil | Available |\n| **Type H2 (North Wing)** | 4,090 sq.ft. | 4+1 Bedrooms | Not on record (under review) | Not on record (under review) | Available |\n| **Type H2a (South Wing)** | 4,090 sq.ft. | 4+1 Bedrooms | RM6.12 mil – RM8.13 mil | RM6.64 mil – RM8.82 mil | Available |\n| **Type IR1 (Penthouse)** | 7,459 sq.ft. | 5+1 Bedrooms | RM19.20 mil | RM19.20 mil | Available |\n\n*Note: No layouts are marked sold out in the inventory record.* [KB:5Dplw17VeIjwSRjP4qlk]\n\n---\n\n### Car Park Allocation\n- **Type H1 (3,380 sq.ft.):** 1 single + 1 tandem (2 bays)\n- **Type H1A (3,380 sq.ft.):** 1 single + 1 tandem (2 bays)\n- **Type H2 &amp; H2A (4,090 sq.ft.):** 2 single + 1 tandem (3 bays)\n- **Type IR1 Penthouse (7,459 sq.ft.):** 5 bays\n\n---\n\n### Furnishing\nSemi-furnished [KB:si3yi69ShP3oGdT1W4oA], featuring:\n- Ducted centralised chilled water air-conditioners\n- Fully completed bathrooms [KB:si3yi69ShP3oGdT1W4oA]\n- Built-in wardrobes for all rooms [KB:si3yi69ShP3oGdT1W4oA]\n- Fitted dry kitchen with appliances\n- Digital lockset\n- Premium German branded appliances/fittings (Bosch, Smeg, Franke, Kaldewei, Villeroy &amp; Boch) [KB:si3yi69ShP3oGdT1W4oA]\n\n---\n\n### Top Reasons to Buy\n1. **Integrated Lifestyle Location:** Direct access to Pavilion Damansara Heights Mall right downstairs, providing everyday convenience without driving [KB:QAGzLmCJqkeBDWlHnZkj].\n2. **High Demand for Large Luxury Units:** Large luxury layouts (3,380 to 7,459 sq.ft.) catering to elite buyers seeking space in Damansara Heights [KB:7puETu6dRordqpdmHalL].\n3. **Exclusive Privacy &amp; Elevator Access:** Private entrance lobby with 2 dedicated lifts serving individual units and enclosed lanai balconies [KB:si3yi69ShP3oGdT1W4oA].\n4. **Panoramic Views &amp; Address:** Units on high floors (Level 25+) enjoy views over One Menerung and the Damansara Heights skyline."
}</t>
        </is>
      </c>
    </row>
    <row r="10">
      <c r="A10" s="2" t="inlineStr">
        <is>
          <t>P03</t>
        </is>
      </c>
      <c r="B10" s="2" t="inlineStr">
        <is>
          <t>Bangsar Hill Park</t>
        </is>
      </c>
      <c r="C10" s="2" t="n">
        <v>22.2</v>
      </c>
      <c r="D10" s="2" t="inlineStr">
        <is>
          <t>stop</t>
        </is>
      </c>
      <c r="E10" s="2" t="inlineStr">
        <is>
          <t>{
  "answer": "Here are the full details for **Bangsar Hill Park**: [KB:syN8b9dL0wtwXSRuVzCM]\n\n### Project Overview\n- **Area:** Lorong Maarof, Bangsar [KB:syN8b9dL0wtwXSRuVzCM]\n- **Developer:** Bangsar Hill Park Development Sdn Bhd (subsidiary of Suezcap) [KB:syN8b9dL0wtwXSRuVzCM]\n- **Land Title:** Residential Strata [KB:syN8b9dL0wtwXSRuVzCM]\n- **Land Tenure:** Leasehold till 2119 [KB:syN8b9dL0wtwXSRuVzCM], [KB:EqU9whEEj5ZXPfN2XSwf]\n- **Maintenance Fee:** RM0.39 psf (inclusive of sinking fund) [KB:syN8b9dL0wtwXSRuVzCM]\n- **Total Units:** 802 units [KB:syN8b9dL0wtwXSRuVzCM] (Block B: 410 units, Block C: 392 units; Phase 1 Tower D &amp; E: 406 units each [KB:XBHCp1kvUoetYUT3d3Nc])\n- **Total Floors / Storeys:** 112 storeys combined [KB:syN8b9dL0wtwXSRuVzCM] (Block B: 57 storeys, Block C: 55 storeys)\n- **Completion / Vacant Possession Date:** \n  - Phase 1: Q2 2025 [KB:syN8b9dL0wtwXSRuVzCM]\n  - Phase 2: Q1 2028 [KB:syN8b9dL0wtwXSRuVzCM]\n\n---\n\n### Layout Details &amp; Status\n*Note: Phase 1 (Towers D &amp; E) is fully sold (only Bumi units left). Pricing is recorded at a benchmark rate of RM900 – RM1,000 psf; exact breakdown of gross/nett prices per layout is not on record.*\n\n- **917 sq ft:** 2 Bedrooms, 2 Bathrooms [KB:0t17yp97hE6PpK2dtosA]\n  - **Gross Price:** Not on record\n  - **Nett Price:** Not on record\n- **978 sq ft:** 2+1 Bedrooms, 2 Bathrooms [KB:0t17yp97hE6PpK2dtosA]\n  - **Gross Price:** Not on record\n  - **Nett Price:** Not on record\n- **1,372 sq ft:** 3+1 Bedrooms, 4 Bathrooms (Dual-key ready) [KB:0t17yp97hE6PpK2dtosA]\n  - **Gross Price:** Not on record\n  - **Nett Price:** Not on record\n- **1,407 sq ft:** 3+1 Bedrooms, 4 Bathrooms (Dual-key ready) [KB:0t17yp97hE6PpK2dtosA]\n  - **Gross Price:** Not on record\n  - **Nett Price:** Not on record\n- **1,435 sq ft:** 3+1 Bedrooms, 4 Bathrooms (Dual-key ready) [KB:0t17yp97hE6PpK2dtosA]\n  - **Gross Price:** Not on record\n  - **Nett Price:** Not on record\n- **1,478 sq ft:** 3+1 Bedrooms, 4 Bathrooms (Dual-key ready) [KB:0t17yp97hE6PpK2dtosA]\n  - **Gross Price:** Not on record\n  - **Nett Price:** Not on record\n\n*(Phase 2 Tower C also features 689 sq ft, 786 sq ft, and 915 sq ft layouts [KB:gtxut0ILcNPmSe9lebT6]; gross and nett prices are not on record).* \n\n---\n\n### Car Park Allocation &amp; Furnishing\n- **Car Park Allocation:** [KB:EqU9whEEj5ZXPfN2XSwf]\n  - All standard units include 2 tandem car park bays.\n  - Units on floor 40 and above come with 2 side-by-side car park bays.\n- **Furnishing / Package Included:** [KB:UJSqTWAuCyf2ql6A6s2Y], [KB:EqU9whEEj5ZXPfN2XSwf]\n  - Fully signature kitchen cabinet &amp; shoe cabinet\n  - Kitchen appliances: Hood &amp; hob, oven, 2-in-1 washer dryer (Electrolux or equivalent)\n  - Full air-conditioning\n  - Full bathroom fittings &amp; instant mixer water heater\n  - Digital door lock\n\n---\n\n### Top Reasons to Buy\n1. **Prime Expat Neighborhood:** Located in prestigious Bangsar, surrounded by top KL CBDs. [KB:UJSqTWAuCyf2ql6A6s2Y], [KB:0t17yp97hE6PpK2dtosA]\n2. **Transit &amp; Lifestyle Accessibility:** 400m walk to Bangsar LRT Station and 450m walk to Bangsar Village Mall. [KB:UJSqTWAuCyf2ql6A6s2Y], [KB:XBHCp1kvUoetYUT3d3Nc]\n3. **Extensive Facilities:** Over 280,000 sq ft of resort and sky facilities. [KB:EqU9whEEj5ZXPfN2XSwf]\n4. **Attractive Pricing:** Benchmark entry price of RM900 – RM1,000 psf compared to surrounding developments. [KB:0t17yp97hE6PpK2dtosA]"
}</t>
        </is>
      </c>
    </row>
    <row r="11">
      <c r="A11" s="2" t="inlineStr">
        <is>
          <t>P04</t>
        </is>
      </c>
      <c r="B11" s="2" t="inlineStr">
        <is>
          <t>ViiA Residences</t>
        </is>
      </c>
      <c r="C11" s="2" t="n">
        <v>26.2</v>
      </c>
      <c r="D11" s="2" t="inlineStr">
        <is>
          <t>stop</t>
        </is>
      </c>
      <c r="E11" s="2" t="inlineStr">
        <is>
          <t>{
  "answer": "### ViiA Residences (Project ID: vrCj5QcxVPPXoH0wojLb)\n\n#### Project Overview &amp; Key Facts\n- **Area**: Bangsar / KL Eco City, Kuala Lumpur [KB:snG9Sfm7raKPbCwLEKqb]\n- **Developer**: S P Setia Berhad (Top 10 listed developer in Malaysia) [KB:snG9Sfm7raKPbCwLEKqb]\n- **Land Title**: Commercial (HDA) [KB:FrVgEO3kzJw6UimskQ8o]\n- **Tenure**: Leasehold [KB:snG9Sfm7raKPbCwLEKqb]\n- **Maintenance Fee**: Estimated RM0.35 psf (inclusive of sinking fund) [KB:snG9Sfm7raKPbCwLEKqb]\n- **Total Units**: 326 units (low density) [KB:snG9Sfm7raKPbCwLEKqb]\n- **Total Floors / Storeys**: 40 Storeys [KB:snG9Sfm7raKPbCwLEKqb]\n- **Completion / Vacant Possession Date**: Completed September 2021 [KB:snG9Sfm7raKPbCwLEKqb]\n- **Car Park Allocation**: 1 parking bay per unit [KB:FrVgEO3kzJw6UimskQ8o]\n- **Furnishing**: Not on record\n\n#### Layout Details [KB:vwoGdWVjMPWPeMEItiwV]\n- **Type A2**: 689 sqft | 1 Bedroom, 1 Bathroom | Nett Price: RM 903,000 – RM 950,000 | Gross Price: RM 1,350 psf | Status: Available\n- **Type A5**: 636 sqft | 1 Bedroom, 1 Bathroom | Nett Price: RM 877,000 | Gross Price: RM 1,350 psf | Status: Available\n- **Type A6**: 676 sqft | 1 Bedroom, 1 Bathroom | Nett Price: RM 862,000 – RM 922,000 | Gross Price: RM 1,350 psf | Status: Available\n- **Type B1**: 782 sqft | 1+1 Bedrooms, 1 Bathroom | Nett Price: RM 1,030,000 – RM 1,060,000 | Gross Price: RM 1,350 psf | Status: Available\n- **Type B3**: 797 sqft | 1+1 Bedrooms, 1 Bathroom | Nett Price: RM 1,040,000 – RM 1,100,000 | Gross Price: RM 1,350 psf | Status: Available\n\n*(Note: None of the recorded layouts are marked sold out in the inventory system).* \n\n#### Top Reasons to Buy [KB:snG9Sfm7raKPbCwLEKqb]\n1. **Reputable Developer**: Developed by S P Setia, a top 10 listed developer in Malaysia known for quality.\n2. **Prestigious Bangsar Address**: Located in the new CBD growth corridor within KL Eco City.\n3. **Integrated Masterplan**: Seamless combination of commercial offices, retail, and residences.\n4. **Direct Mall Connectivity**: Link bridge to Mid Valley Megamall and The Gardens Mall.\n5. **Integrated Rail Access**: Direct access to LRT &amp; MRT stations.\n6. **Affluent Surroundings**: Neighbouring Mid Valley, Bangsar, Bangsar South, Seputeh, and Taman Desa.\n7. **Excellent Highway Connectivity**: Easy access to Federal Highway, NPE, MEX, and North–South Expressway.\n8. **Central CBD Location**: 10–15 minutes' drive to KLCC, Bangsar South, and KL Sentral.\n9. **Exclusive Private Facilities**: Rooftop lifestyle facilities including sky infinity pool, gym, rock climbing wall, music shower spa, and yoga/dance space.\n10. **Low-Density Living**: Only 326 units, offering privacy and exclusivity."
}</t>
        </is>
      </c>
    </row>
    <row r="12">
      <c r="A12" s="2" t="inlineStr">
        <is>
          <t>P05</t>
        </is>
      </c>
      <c r="B12" s="2" t="inlineStr">
        <is>
          <t>Enlace Suites @ Pantai Sentral Park</t>
        </is>
      </c>
      <c r="C12" s="2" t="n">
        <v>34.6</v>
      </c>
      <c r="D12" s="2" t="inlineStr">
        <is>
          <t>stop</t>
        </is>
      </c>
      <c r="E12" s="2" t="inlineStr">
        <is>
          <t>```json
{
  "matches": [],
  "answer": "# Enlace Suites @ Pantai Sentral Park
### Project Overview
- **Area**: Kuala Lumpur (Pantai Sentral Park) [KB:fkIknvBI1Rqt5PlJyBrh]
- **Developer**: Amona Development Sdn Bhd (Joint development with IJM Land – Pantai Sentral Park) [KB:fkIknvBI1Rqt5PlJyBrh]
- **Land Title**: Commercial (Serviced Suites) [KB:fkIknvBI1Rqt5PlJyBrh]
- **Tenure**: Leasehold (99 years, expiring 5 September 2123)
- **Total Units**: 438 units [KB:fkIknvBI1Rqt5PlJyBrh]
- **Total Floors**: 41 floors (Levels 8–48 Residential, Levels 1–7 Parking/Facilities) [KB:fkIknvBI1Rqt5PlJyBrh]
- **Completion / Vacant Possession Date**: Estimated September 2029 [KB:fkIknvBI1Rqt5PlJyBrh] [KB:uje0pJfrZpyNs4wh7olp]
- **Maintenance Fee**: RM0.50 psf (including sinking fund) [KB:Li0Sx6Q32StV6DussgXd] [KB:uje0pJfrZpyNs4wh7olp]
---
### Layout Details
*Overall project price on record ranges from RM783,600 to RM2,321,800 (from RM1,147 psf) [KB:uje0pJfrZpyNs4wh7olp]. Individual nett price, gross price, and sold-out status per specific unit type are not on record.*
- **Type A / A(M)**: 474 sq ft | Studio (0 Bedrooms) | Gross Price: not on record | Nett Price: not on record | Status: not on record
- **Type B**: 560 sq ft | 1 Bedroom | Gross Price: not on record | Nett Price: not on record | Status: not on record
- **Type C**: 797 sq ft | 2 Bedrooms | Gross Price: not on record | Nett Price: not on record | Status: not on record
- **Type D**: 872 sq ft | 2 Bedrooms (Dual Key) | Gross Price: not on record | Nett Price: not on record | Status: not on record
- **Type D1**: 872 sq ft | 2 Bedrooms | Gross Price: not on record | Nett Price: not on record | Status: not on record
- **Type E / E1**: 1,249 sq ft | 3 Bedrooms | Gross Price: not on record | Nett Price: not on record | Status: not on record
- **Type E Garden**: 1,249 sq ft | 3 Bedrooms | Gross Price: not on record | Nett Price: not on record | Status: not on record
- **Type G Garden**: 1,302 sq ft | 3+1 Bedrooms | Gross Price: not on record | Nett Price: not on record | Status: not on record
- **Type F**: 1,561 sq ft | 4+1 Bedrooms | Gross Price: not on record | Nett Price: not on record | Status: not on record
- **Type H Garden**: 1,733 sq ft | 3+2 Bedrooms | Gross Price: not on record | Nett Price: not on record | Status: not on record
---
### Top Reasons to Buy
- **Direct Transit &amp; Highway Connectivity**: Elevated link to upcoming MRT3 Circle Line (connecting to KTM) and direct access to NPE highway [KB:Li0Sx6Q32StV6DussgXd].
- **Rainforest &amp; Park Living**: Bordering the 200-acre Bukit Kerinchi Forest Reserve within the 58-acre integrated masterplan [KB:Li0Sx6Q32StV6DussgXd] [KB:taNlcy5RldgfkOvjuq5I].
- **Integrated Commercial &amp; Retail**: 100,000 sq ft retail space (Enlace Shoppes) managed for curated tenant mix (e.g., Jaya Grocer, Guardian) [KB:Li0Sx6Q32StV6DussgXd].
- **Low Density**: Exclusive 4 to 12 units per floor.
---
### Furnishing
Partially furnished [KB:uje0pJfrZpyNs4wh7olp]:
- Kitchen cabinet (top &amp; bottom)
- Hob and hood
- Refrigerator &amp; oven
- Washer cum dryer (or split unit)
- Air conditioning (2–7 units depending on layout)
- Wardrobes (master bedroom / selected)
- Digital lock set
- Storage water heater system
- Shower screen, mirror &amp; vanity top
- Plaster ceiling (selected areas)
- Bathtub (Type F only)
---
### Car Park Allocation
- **Per-unit allocation count**: not on record
- **Overall Car Park Inventory**: 1,153 accessory parcel bays, 51 tandem bays, 31 visitor bays, 8 EV charging bays, 12 OKU bays, 2 car wash bays [KB:uje0pJfrZpyNs4wh7olp]"
}
```</t>
        </is>
      </c>
    </row>
    <row r="13">
      <c r="A13" s="2" t="inlineStr">
        <is>
          <t>P06</t>
        </is>
      </c>
      <c r="B13" s="2" t="inlineStr">
        <is>
          <t>The Lantern Bangsar</t>
        </is>
      </c>
      <c r="C13" s="2" t="n">
        <v>26.6</v>
      </c>
      <c r="D13" s="2" t="inlineStr">
        <is>
          <t>stop</t>
        </is>
      </c>
      <c r="E13" s="2" t="inlineStr">
        <is>
          <t>{
  "answer": "Here are the full project details for **The Lantern Bangsar** (Project ID: `jjz7hgG3QG0mY3moUj1V`):\n\n--- \n\n### **Project Overview**\n- **Area:** Bangsar [KB:z3EkItmn7uYiXy0Q7AuT]\n- **Developer:** CDC (Taiwan Public Listed Company subsidiary; 10 years in Malaysia, built Capri Hotel Bukit Bintang) [KB:z3EkItmn7uYiXy0Q7AuT] [KB:Mu38hPj7Bu8z3HzkWfQL]\n- **Land Title:** Commercial Title (under HDA for residential use) [KB:fDWuf5Fk0s71l9X3xR1g]\n- **Tenure:** Freehold [KB:z3EkItmn7uYiXy0Q7AuT]\n- **Maintenance Fee:** RM0.715 psf (RM0.65 psf + 10% sinking fund) [KB:z3EkItmn7uYiXy0Q7AuT]\n- **Total Units:** 180 units (1 block) [KB:z3EkItmn7uYiXy0Q7AuT]\n- **Total Floors / Storeys:** 35 Storeys [KB:z3EkItmn7uYiXy0Q7AuT]\n- **Expected Completion / VP Date:** December 2026 [KB:z3EkItmn7uYiXy0Q7AuT]\n\n--- \n\n### **Layout Details**\n*(Note: Gross pricing rate is around RM1,400 psf on average; specific layout-level total nett and gross prices are not on record on the project sheet.)*\n\n| Layout Type | Built-up Size | Bedrooms / Bathrooms | Nett Price | Gross Price | Status |\n|---|---|---|---|---|---|\n| **Type A1** | 570 sq ft | 1 Bedroom, 1 Bathroom | Not on record | Not on record | Available |\n| **Type A2** | 561 sq ft | 1 Bedroom (approx.) | Not on record | Not on record | Available |\n| **Type B** | 765 sq ft | 2 Bedrooms, 1 Bathroom | Not on record | Not on record | Available |\n| **Type C** | 852 sq ft | 2 Bedrooms, 2 Bathrooms | Not on record | Not on record | Available |\n| **Type D** | 1,092 sq ft | 2 Bedrooms, 2 Bathrooms + 1 Studio + 1 Bath (Dual Key) | Not on record | Not on record | Available |\n\n--- \n\n### **Car Park Allocation** [KB:T6I7wB6mXxnYDXIZeAa9]\n- **Type A &amp; Type B:** 1 car park bay\n- **Type C:** 1 / 2 / tandem car park bays\n- **Type D:** 2 car park bays\n\n--- \n\n### **Furnishing &amp; Specifications** [KB:T6I7wB6mXxnYDXIZeAa9] [KB:d6bn3dRMQ7X7mQ3tttmk]\n- **Partly Furnished:**\n  - Full air-conditioning (Panasonic Inverter with nanoe™ X purifier)\n  - Full bathrooms with Villeroy &amp; Boch sanitary ware, mirror, shower screens, vanity top\n  - Bofi dry kitchen cabinets with solid stone countertop and Hafele induction hood &amp; hob\n  - Engineered timber flooring in all bedrooms\n  - 600x600mm porcelain tiles in living &amp; dining areas\n  - 2.5m tall modern living area windows\n  - Digital door lock system\n\n--- \n\n### **Top Reasons to Buy** [KB:Mu38hPj7Bu8z3HzkWfQL] [KB:d6bn3dRMQ7X7mQ3tttmk]\n1. **Listed Developer:** Backed by a Taiwanese public listed company with 77 years of construction expertise (high QLASSIC quality scores).\n2. **Prestigious Address:** Prime Bangsar address near 3 major CBDs (KL Sentral, KL Eco City, and Bangsar South).\n3. **Transit Accessibility:** Only 350m walk to Bangsar LRT Station.\n4. **All Corner / Sky Semi-D Design:** Unblocked views with natural light and cross-ventilation.\n5. **Proximity to Key Malls:** Within 3km to Mid Valley Megamall, Bangsar Shopping Centre (BSC), Bangsar Village, and Nu Sentral.\n6. **Ultra-Low Density:** Only 180 exclusive units in a single block.\n7. **High-End Specifications:** Premium brands including Villeroy &amp; Boch sanitary fittings, Hafele appliances, and Bofi cabinetry.\n8. **High Rentability &amp; Value Retention:** Limited supply makes it highly attractive to professionals working in neighbouring business hubs."
}</t>
        </is>
      </c>
    </row>
    <row r="14">
      <c r="A14" s="2" t="inlineStr">
        <is>
          <t>P07</t>
        </is>
      </c>
      <c r="B14" s="2" t="inlineStr">
        <is>
          <t>One Eleven Menerung @ Bangsar</t>
        </is>
      </c>
      <c r="C14" s="2" t="n">
        <v>24.1</v>
      </c>
      <c r="D14" s="2" t="inlineStr">
        <is>
          <t>stop</t>
        </is>
      </c>
      <c r="E14" s="2" t="inlineStr">
        <is>
          <t>{
  "answer": "Here are the full details for **One Eleven Menerung @ Bangsar** [KB:cK6kmEwogtIZDfJvbTBI]:\n\n### Layout Overview\n* **Type M1**: 1,001 sqft | 2 Bedrooms, 2 Bathrooms | Nett Price: RM1.92Mil – RM2.28Mil | Gross Price: from RM1,960 psf [KB:cK6kmEwogtIZDfJvbTBI]\n* **Type M1-A**: 1,012 sqft | 2 Bedrooms, 2 Bathrooms | Nett Price: RM2.16Mil – RM2.19Mil | Gross Price: from RM2,180 psf [KB:cK6kmEwogtIZDfJvbTBI]\n* **Type M1-B**: 1,087 sqft | 2 Bedrooms, 2 Bathrooms | Nett Price: RM2.35Mil | Gross Price: RM2,200 psf [KB:cK6kmEwogtIZDfJvbTBI]\n* **Type M2**: 1,163 sqft | 2 Bedrooms, 2 Bathrooms | **Sold Out** [KB:cK6kmEwogtIZDfJvbTBI]\n* **Type M3**: 1,378 sqft | 2 Bedrooms, 2 Bathrooms | Nett Price: RM2.7Mil | Gross Price: from RM2,040 psf [KB:cK6kmEwogtIZDfJvbTBI]\n* **Type L**: 3,714 sqft | 4 Bedrooms, 5 Bathrooms | Nett Price: RM6.4Mil – RM6.6Mil | Gross Price: from RM1,760 psf [KB:cK6kmEwogtIZDfJvbTBI]\n\n---\n\n### Project Details\n* **Area**: Bangsar [KB:cK6kmEwogtIZDfJvbTBI]\n* **Developer**: BRDB [KB:cK6kmEwogtIZDfJvbTBI]\n* **Land Title**: Not on record\n* **Tenure**: Freehold [KB:cK6kmEwogtIZDfJvbTBI]\n* **Maintenance Fee**: Not on record\n* **Total Units**: 111 units (low density) [KB:cK6kmEwogtIZDfJvbTBI]\n* **Total Floors**: 23 floors (1 tower) [KB:cK6kmEwogtIZDfJvbTBI]\n* **Target Completion / VP Date**: Q1 2027 [KB:cK6kmEwogtIZDfJvbTBI]\n* **Furnishing**: Partially furnished (compressed marble in living areas, engineered timber flooring in all bedrooms, ducted split-unit air conditioning, full kitchen cabinets with Miele/Bosch fridge, oven, hob &amp; hood, 2-in-1 washer dryer, wardrobes in all bedrooms, Villeroy &amp; Boch sanitary fittings with boiler water heater, and digital lock) [KB:AYKUj9MOYHBOLjOORagF]\n* **Car Park Allocation**: 1 to 3 car parks depending on unit size:\n  * Type M1 (1,001 sqft): 1 car park\n  * Type M2 (1,163 sqft): 2 car parks\n  * Type M3 (1,378 sqft): 2 car parks\n  * Type L (3,714 sqft): 3 car parks [KB:FLH7YWVQVYdQV2gHHVKB]\n\n---\n\n### Top Reasons to Buy [KB:4Ye5fAJXVoBPq6teU79q]\n1. **Prestigious Developer**: Created by BRDB, the developer behind BSC Bangsar Mall, Serai Bangsar, and One Menerung.\n2. **Prime Location**: Located in upscale Bangsar, popular among expats and affluent buyers.\n3. **Walk to Malls**: Short walking distance to BSC Mall (300m) and Pavilion Damansara Heights Mall (200m).\n4. **High Exclusivity**: Low density with only 111 exclusive freehold units.\n5. **Luxury Finishes**: High-end fittings including marble flooring, engineered timber, Miele &amp; Bosch appliances, and Villeroy &amp; Boch sanitary ware.\n6. **Spacious 2-Bedroom Layouts**: Over 1,000 sqft built-up for 2-bedroom units.\n7. **Sky Duplex Living**: Extra-high ceilings in the 1,378 sqft and 3,714 sqft units.\n8. **Excellent Transit Connectivity**: 180m (3-minute walk) to MRT Pavilion Damansara Heights (2 stops to KL Sentral, 5 stops to Bukit Bintang)."
}</t>
        </is>
      </c>
    </row>
    <row r="15">
      <c r="A15" s="2" t="inlineStr">
        <is>
          <t>P08</t>
        </is>
      </c>
      <c r="B15" s="2" t="inlineStr">
        <is>
          <t>Pavilion Damansara Heights</t>
        </is>
      </c>
      <c r="C15" s="2" t="n">
        <v>38</v>
      </c>
      <c r="D15" s="2" t="inlineStr">
        <is>
          <t>stop</t>
        </is>
      </c>
      <c r="E15" s="2" t="inlineStr">
        <is>
          <t>{
  "matches": [],
  "answer": "### Project Overview: Pavilion Damansara Heights (Project ID: `hAAy2kb4t5Aigzmv7MPO`)\n\n#### Key Details\n- **Area:** Damansara Heights [KB:ydzZG1cR4OUt9y0IkotG]\n- **Developer:** Impian Ekspresi Sdn Bhd (Pavilion Damansara) [KB:ydzZG1cR4OUt9y0IkotG] [KB:B5QzV2j9rYbEMsLHb84f]\n- **Land Title:** Service Apartments [KB:B5QzV2j9rYbEMsLHb84f]\n- **Tenure:** Freehold [KB:ydzZG1cR4OUt9y0IkotG] [KB:B5QzV2j9rYbEMsLHb84f]\n- **Maintenance Fee:** R1 / R2: RM0.92 psf; R3: RM0.87 psf (inclusive of sinking fund) [KB:ydzZG1cR4OUt9y0IkotG]\n- **Total Units:** 1,314 units (Windsor: 568 units, Regent: 582 units, Crown: 165 units) [KB:ydzZG1cR4OUt9y0IkotG] [KB:ZNtEkTKB4DKmeGexSrMx]\n- **Total Floors:** Not on record\n- **Completion / VP Date:** Handover early 2025 (Expected April 2025) [KB:ZNtEkTKB4DKmeGexSrMx]\n- **Top Reasons to Buy:** Not on record\n- **Furnishing:** Semi-furnished (no more free furnishing)\n- **Car Park Allocation:**\n  - Below 1,300 sqft: 1 car park\n  - 1,400 – 1,878 sqft: 1 tandem car park\n  - 2,303 sqft: 1 tandem + 1 single car park\n  - 2,803 sqft: 3 single car parks\n\n---\n\n#### Layouts &amp; Pricing Summary\n*Note: The structured unit layout table is not on record in D2 inventory. Below are sample pricing records available in project documentation. Specific per-unit bedroom counts and exact sold-out statuses per layout line are not on record.*\n\n##### **Windsor Suites (R1)** [KB:CtKUds8950P3sNf26sqF]\n- **Type D1:** 614 sqft | Bedrooms: Not on record | Gross (SPA) Price: RM1,131,300 | Nett Price: RM905,040 | Sold Out Status: Not on record\n- **Type D2:** 691 sqft | Bedrooms: Not on record | Gross (SPA) Price: RM1,264,500 | Nett Price: RM1,011,600 | Sold Out Status: Not on record\n- **Type D3 (Cr):** 775 sqft | Bedrooms: Not on record | Gross (SPA) Price: RM1,445,400 | Nett Price: RM1,156,320 | Sold Out Status: Not on record\n- **Type D3 (Cr)F:** 775 sqft | Bedrooms: Not on record | Gross (SPA) Price: RM1,381,500 | Nett Price: RM1,105,200 | Sold Out Status: Not on record\n- **Type D4:** 808 sqft | Bedrooms: Not on record | Gross (SPA) Price: RM1,394,100 | Nett Price: RM1,115,280 | Sold Out Status: Not on record\n- **Type D5:** 826 sqft | Bedrooms: Not on record | Gross (SPA) Price: RM1,437,300 | Nett Price: RM1,149,840 | Sold Out Status: Not on record\n- **Type E1:** 988 sqft | Bedrooms: Not on record | Gross (SPA) Price: RM1,709,100 | Nett Price: RM1,367,280 | Sold Out Status: Not on record\n\n##### **Regent Suites (R2)** [KB:pRfGeLStIp1mwvYzlu1x]\n- **Type A1:** 605 sqft | Bedrooms: Not on record | Gross (SPA) Price: RM1,076,400 | Nett Price: RM861,120 | Sold Out Status: Not on record\n- **Type A2:** 695 sqft | Bedrooms: Not on record | Gross (SPA) Price: RM1,224,900 | Nett Price: RM979,920 | Sold Out Status: Not on record\n- **Type A3 (Cr):** 702 sqft | Bedrooms: Not on record | Gross (SPA) Price: RM1,260,900 | Nett Price: RM1,008,720 | Sold Out Status: Not on record\n- **Type A4:** 808 sqft | Bedrooms: Not on record | Gross (SPA) Price: RM1,345,500 | Nett Price: RM1,076,400 | Sold Out Status: Not on record\n- **Type A5:** 816 sqft | Bedrooms: Not on record | Gross (SPA) Price: RM1,359,000 | Nett Price: RM1,087,200 | Sold Out Status: Not on record\n- **Type A6:** 826 sqft | Bedrooms: Not on record | Gross (SPA) Price: RM1,381,500 | Nett Price: RM1,105,200 | Sold Out Status: Not on record\n- **Type B1 (Cr):** 1,050 sqft | Bedrooms: Not on record | Gross (SPA) Price: RM1,793,700 | Nett Price: RM1,434,960 | Sold Out Status: Not on record\n\n##### **Crown Suites (R3)** [KB:ydzZG1cR4OUt9y0IkotG]\n- **Sizes:** 2,303 sqft &amp; 2,803 sqft | Bedrooms: Not on record | Prices: Not on record | Sold Out Status: Not on record"
}</t>
        </is>
      </c>
    </row>
    <row r="16">
      <c r="A16" s="2" t="inlineStr">
        <is>
          <t>P09</t>
        </is>
      </c>
      <c r="B16" s="2" t="inlineStr">
        <is>
          <t>PDH: Royal Suites(RC)</t>
        </is>
      </c>
      <c r="C16" s="2" t="n">
        <v>25.6</v>
      </c>
      <c r="D16" s="2" t="inlineStr">
        <is>
          <t>stop</t>
        </is>
      </c>
      <c r="E16" s="2" t="inlineStr">
        <is>
          <t>{
  "answer": "# Pavilion Damansara Heights: Royal Suites(RC) — Project Details\n\n### Project Overview\n- **Area**: Damansara Heights [KB:pGJBu3xWUrLOi2NhL8ci]\n- **Developer**: Jendela Mayang Sdn Bhd (Pavilion Group) [KB:pGJBu3xWUrLOi2NhL8ci]\n- **Land Title**: Commercial under HDA [KB:pGJBu3xWUrLOi2NhL8ci]\n- **Tenure**: Freehold [KB:pGJBu3xWUrLOi2NhL8ci]\n- **Maintenance Fee**: RM0.99 psf (inclusive of sinking fund) [KB:pGJBu3xWUrLOi2NhL8ci]\n- **Total Units**: 490 units [KB:pGJBu3xWUrLOi2NhL8ci]\n- **Total Floors**: 51 storeys [KB:pGJBu3xWUrLOi2NhL8ci]\n- **Expected Completion / Vacant Possession**: Planned for 2029 (52 months from SPA) [KB:pGJBu3xWUrLOi2NhL8ci] [KB:bexYwjeFRq46r7E4pkoA]\n\n---\n\n### Layout Details\n\n| Layout Type | Size (sqft) | Bedrooms | Nett Price | Gross Price | Status |\n|---|---|---|---|---|---|\n| Type S1 | 452 sqft | Suite | Not on record | Not on record | Available |\n| Type S2 | 538 sqft | Suite | Not on record | Not on record | Available |\n| Type J1 | 635 sqft | 1+1 Bedroom | Not on record | Not on record | Available |\n| Type J3 | 743 sqft | 2 Bedrooms | Not on record | Not on record | Available |\n| Type J2 | 753 sqft | 1+1 Bedroom | Not on record | Not on record | Available |\n| Type J4 | 850 sqft | 1+1 Bedroom | Not on record | Not on record | Available |\n| Type M1 | 1,119 sqft | 2+1 Bedrooms | Not on record | Not on record | Available |\n| Type DK1 | 1,302 sqft | Dual Key | Not on record | Not on record | Available |\n| Type M2 | 1,550 sqft | 3+1 Bedrooms | Not on record | Not on record | Available |\n| Type DK2 | 1,679 sqft | Dual Key | Not on record | Not on record | Available |\n\n*(Note: Specific unit-level nett and gross prices per layout are not on record; overall starting price on record is from RM652,284.)*\n\n---\n\n### Car Park Allocation [KB:bexYwjeFRq46r7E4pkoA]\n- **Type M2 (3+1 Bedrooms)**: 2 bays (1 tandem)\n- **Type DK1 &amp; DK2 (Dual Key)**: 2 single bays\n- **All Other Types (Below 1,300 sqft)**: 1 single bay\n\n---\n\n### Furnishing [KB:pGJBu3xWUrLOi2NhL8ci]\n**Partial Furnished**, including:\n- Digital door lock\n- Centralized air-conditioning (chilled water system)\n- Built-in kitchen cabinet\n- Bosch hood &amp; hob\n- Smeg refrigerator\n- Built-in oven\n- Bosch washer cum dryer\n- Built-in wardrobes\n- Bathroom fittings &amp; storage water heater\n- Compressed marble flooring (Living)\n- Engineered timber flooring (Bedrooms)\n\n---\n\n### Top Reasons to Buy [KB:XJDzC9pawj9PDGhZojVm] [KB:4uKYz3bzVG37stwQlqoG]\n1. **Integrated 4-in-1 Mixed Development**: Direct connection to Pavilion Damansara Heights Mall (1 million sqft retail), corporate office towers, and Sofitel Hotel.\n2. **Unmatched Transit Connectivity**: Closest residential tower to the Pavilion Damansara Heights MRT Station (2 stops to KL Sentral, 5 stops to TRX / Bukit Bintang).\n3. **Prestigious Address**: Prime freehold property located in Damansara Heights (\"Beverly Hills of KL\").\n4. **World-Class Facilities &amp; Concierge**: Heated infinity pool, social sphere, private lounge, function rooms, and on-demand concierge services."
}</t>
        </is>
      </c>
    </row>
    <row r="17">
      <c r="A17" s="2" t="inlineStr">
        <is>
          <t>P10</t>
        </is>
      </c>
      <c r="B17" s="2" t="inlineStr">
        <is>
          <t>Pinnacle Bangsar Residence</t>
        </is>
      </c>
      <c r="C17" s="2" t="n">
        <v>33.9</v>
      </c>
      <c r="D17" s="2" t="inlineStr">
        <is>
          <t>stop</t>
        </is>
      </c>
      <c r="E17" s="2" t="inlineStr">
        <is>
          <t>{
  "answer": "Here are the full details for **Pinnacle Bangsar Residence**:\n\n### Project Summary\n- **Area:** Bangsar [KB:0wEHxV8AFCXJp3WLEtv3]\n- **Developer:** Pinnacle Homes Group of Companies [KB:0wEHxV8AFCXJp3WLEtv3]\n- **Land Title:** Not on record\n- **Tenure:** Freehold [KB:0wEHxV8AFCXJp3WLEtv3]\n- **Total Units:** 18 units (8 simplex + 8 duplex + 2 triplex) [KB:0wEHxV8AFCXJp3WLEtv3]\n- **Total Floors:** 49 storeys [KB:0wEHxV8AFCXJp3WLEtv3]\n- **Completion / VP Date:** 2022 [KB:0wEHxV8AFCXJp3WLEtv3]\n- **Maintenance Fee:** RM0.38 psf (inclusive of sinking fund) [KB:0wEHxV8AFCXJp3WLEtv3]\n\n---\n\n### Layout Details &amp; Pricing\n*Note: Total nett and gross prices for individual units are not on record. Pricing is quoted on a psf basis depending on the chosen furnishing package (ranging from ~RM1,100 psf to ~RM1,300 psf).* [KB:SfybPFYqGBNQaVKQe6S8]\n\n- **Type A1 (Simplex)** [KB:4Y9SStbif31Y7u3vljxv]\n  - **Size:** 4,677 sq ft\n  - **Bedrooms:** 4+1 rooms\n  - **Nett Price:** Not on record\n  - **Gross Price:** Not on record\n  - **Status:** Available (not marked sold out)\n\n- **Type A2 (Simplex)** [KB:4Y9SStbif31Y7u3vljxv]\n  - **Size:** 4,718 sq ft\n  - **Bedrooms:** 4+1 rooms\n  - **Nett Price:** Not on record\n  - **Gross Price:** Not on record\n  - **Status:** Available (not marked sold out)\n\n- **Type B1 (Duplex)** [KB:SfybPFYqGBNQaVKQe6S8] [KB:4Y9SStbif31Y7u3vljxv]\n  - **Size:** 7,942 sq ft\n  - **Bedrooms:** 6+1 rooms\n  - **Nett Price:** Not on record\n  - **Gross Price:** Not on record\n  - **Status:** Available (not marked sold out)\n\n- **Type B2 (Duplex), Type C1 &amp; C2 (Triplex):** Specific sizes, nett prices, gross prices, and sold-out statuses for these individual layouts are not on record [KB:4Y9SStbif31Y7u3vljxv].\n\n---\n\n### Furnishing Packages\nUnits are offered in 3 pricing packages [KB:SfybPFYqGBNQaVKQe6S8]:\n1. **Package A (Bare Unit):** ~RM1,100 psf\n2. **Package B (With Finishes):** ~RM1,200 psf (includes flooring, ceiling, AC grille &amp; ducting)\n3. **Package C (With Built-ins):** ~RM1,300 psf (includes kitchen, wardrobes, bed frames)\n\n---\n\n### Car Park Allocation\n- **Simplex (Type A1 &amp; A2):** 3 car parks [KB:4Y9SStbif31Y7u3vljxv]\n- **Duplex (Type B1 &amp; B2):** 5 car parks [KB:SfybPFYqGBNQaVKQe6S8] [KB:4Y9SStbif31Y7u3vljxv]\n- **Triplex (Type C1 &amp; C2):** 6 car parks [KB:4Y9SStbif31Y7u3vljxv]\n- **Total Car Park Bays:** 79 lots (includes 4 visitor lots) [KB:SfybPFYqGBNQaVKQe6S8]\n\n---\n\n### Top Reasons to Buy\n1. **Prime Location:** Situated atop a hill in upscale Bangsar, favored by expats and affluent buyers [KB:SfybPFYqGBNQaVKQe6S8].\n2. **Exclusivity Redefined:** Boutique low-density development with only 18 ultra-luxury couture homes [KB:SfybPFYqGBNQaVKQe6S8].\n3. **Luxurious Finishes:** Marble flooring in living areas, timber flooring in bedrooms, and luxury Villeroy &amp; Boch fittings [KB:RyPKcjN6yy1C4YwRKFg6].\n4. **Generous Space:** Spanning over 4,000 sq ft of living space per unit [KB:RyPKcjN6yy1C4YwRKFg6].\n5. **Sky-High Duplex Living:** Double-volume spatial experience with soaring ceilings in duplex units."
}</t>
        </is>
      </c>
    </row>
    <row r="18">
      <c r="A18" s="2" t="inlineStr">
        <is>
          <t>P11</t>
        </is>
      </c>
      <c r="B18" s="2" t="inlineStr">
        <is>
          <t>Parkside Residences</t>
        </is>
      </c>
      <c r="C18" s="2" t="n">
        <v>36.1</v>
      </c>
      <c r="D18" s="2" t="inlineStr">
        <is>
          <t>stop</t>
        </is>
      </c>
      <c r="E18" s="2" t="inlineStr">
        <is>
          <t>{
  "answer": "# Parkside Residences — Project Details\n\n### **Project Facts**\n- **Area**: Setia Federal Hill [KB:2430R3Rv6A927s1mzgbS]\n- **Developer**: Setia M S SFH Development Sdn Bhd (JV of SP Setia &amp; Mitsui Fudosan) [KB:2430R3Rv6A927s1mzgbS]\n- **Land Title**: Commercial under HDA (Serviced Residence) [KB:gXRedG07bqN7KcG1cmW0]\n- **Tenure**: Leasehold till 2116 (developer to attempt renewal for 95–99 years at VP) [KB:2430R3Rv6A927s1mzgbS]\n- **Maintenance Fee**: Est. RM0.50 psf [KB:2430R3Rv6A927s1mzgbS]\n- **Total Units**: 693 residential units (+ 6 retail lots, not for sale) [KB:2430R3Rv6A927s1mzgbS]\n- **Total Floors**: 62 storeys [KB:gXRedG07bqN7KcG1cmW0]\n- **Expected Completion / Vacant Possession**: Q1 2030 (58 months in SPA) [KB:2430R3Rv6A927s1mzgbS]\n- **Furnishing**: Semi-furnished (Full air-conditioners, digital lock, full bathroom fittings with Villeroy &amp; Boch / American Standard &amp; built-in hot water, full kitchen cabinets with Bosch fridge, hood &amp; hob induction, 2-in-1 washer dryer, and master room wardrobe) [KB:sJ2LbojaXnLZIbiFsc8H, KB:gXRedG07bqN7KcG1cmW0]\n- **Car Park Allocation**: 1 car park for 1- and 2-bedroom units; 2 car parks for 3-bedroom units; 7 EV charger lots at B1 [KB:sJ2LbojaXnLZIbiFsc8H, KB:gXRedG07bqN7KcG1cmW0]\n\n---\n\n### **Layout Details**\n\n| Type | Size | Bedrooms | Nett Price | Gross Price | Status |\n|---|---|---|---|---|---|\n| **Type A** | 485 sqft | 1 Flexi Room, 1 Bath | RM588,000 – RM760,000 | Est. 1,200 psf | Available [KB:150CQpFGGil4I5zTRyut] |\n| **Type B** | 689 sqft | 1 Bedroom, 2 Baths | RM770,000 – RM860,000 | Est. 1,200 psf | Available [KB:150CQpFGGil4I5zTRyut] |\n| **Type C1** | 646 sqft | 2 Bedrooms, 2 Baths | RM780,000 – RM840,000 | Est. 1,300 psf | Available [KB:150CQpFGGil4I5zTRyut] |\n| **Type C2** | 732 sqft | 2 Bedrooms, 2 Baths | RM815,000 – RM860,000 | Est. 1,200 psf | Available [KB:150CQpFGGil4I5zTRyut] |\n| **Type D1** | 872 sqft | 2+1 Bedrooms, 2 Baths | RM1.09 Mil – RM1.10 Mil | Est. 1,250 psf | Available [KB:150CQpFGGil4I5zTRyut] |\n| **Type D2** | 926 sqft | 2+1 Bedrooms, 2 Baths, 1 Balcony | RM1.18 Mil – RM1.20 Mil | Est. 1,300 psf | Available [KB:150CQpFGGil4I5zTRyut] |\n| **Type D3** | 1,012 sqft | 2+1 Bedrooms, 2 Baths | RM1.25 Mil – RM1.34 Mil | Est. 1,300 psf | Available [KB:150CQpFGGil4I5zTRyut] |\n| **Type E1** | 1,260 sqft | 3 Bedrooms, 2 Baths, 1 Balcony | Not on record (TBC) | Not on record (TBC) | Available [KB:150CQpFGGil4I5zTRyut] |\n| **Type E2** | 1,325 sqft | 3 Bedrooms, 2 Baths, 1 Balcony | RM1.60 Mil – RM1.70 Mil | Est. 1,300 psf | Available [KB:d1UvxA51rHfCjuaCKEpG] |\n\n---\n\n### **Top Reasons to Buy**\n1. **Prime Location &amp; Transit Access**: Located in Setia Federal Hill near KL Sentral, Mid Valley, and Bangsar; 400m covered walkway to Bangsar LRT [KB:sJ2LbojaXnLZIbiFsc8H, KB:wCkeAIRiIZMad3d3BMZu].\n2. **5-Acre Central Park Backyard**: Direct access to a lush 5-acre central park plus elevated rooftop green sanctuaries [KB:sJ2LbojaXnLZIbiFsc8H].\n3. **Top Tier Developers**: Joint venture between SP Setia (Top 10 listed Malaysian developer) and Mitsui Fudosan (Japan's largest developer) [KB:2430R3Rv6A927s1mzgbS, KB:w2Zu6dVCdPdxgoy6A8Xm].\n4. **Smart &amp; Future-Ready Features**: Speed ramps, facial &amp; fingerprint recognition security, and dedicated EV charging stations [KB:w2Zu6dVCdPdxgoy6A8Xm].\n5. **Strong Investment Potential**: Ultra-private Federal Hill enclave coupled with integrated master plan offers high capital appreciation and rental yield potential [KB:w2Zu6dVCdPdxgoy6A8Xm]."
}</t>
        </is>
      </c>
    </row>
    <row r="19">
      <c r="A19" s="2" t="inlineStr">
        <is>
          <t>P12</t>
        </is>
      </c>
      <c r="B19" s="2" t="inlineStr">
        <is>
          <t>Rhombus</t>
        </is>
      </c>
      <c r="C19" s="2" t="n">
        <v>26.2</v>
      </c>
      <c r="D19" s="2" t="inlineStr">
        <is>
          <t>stop</t>
        </is>
      </c>
      <c r="E19" s="2" t="inlineStr">
        <is>
          <t>{
  "answer": "### Project Details: Rhombus [Project ID: eGsxriHHrJTsyX9nCHNc]\n\n**Layout Details &amp; Availability:**\n- **Layout Sizes:** 3,700 – 3,800 sqft (2 layout types varying by balcony size) [KB:EJlKTBJNaJMI2zy6KIb0]\n- **Bedrooms:** 4+1 Bedrooms (all 4 bedrooms en-suite) [KB:lECEiopeRC1IGudnABnb]\n- **Pricing &amp; Availability:**\n  - Level 1 – 3: RM6,100,000 [KB:inQXUQNvyh0q1AdwYhs7]\n  - Level 3A: RM6,150,000 [KB:inQXUQNvyh0q1AdwYhs7]\n  - Level 5 and above: Sold out [KB:EJlKTBJNaJMI2zy6KIb0]\n- **Nett Price / Gross Price Breakdown:** Not on record\n\n**Project Specifications:**\n- **Area:** Bangsar [KB:mnfUOYTApaQHBiJ6tSD5]\n- **Developer:** Benéton Properties Sdn Bhd [KB:mnfUOYTApaQHBiJ6tSD5]\n- **Land Title:** Residential [KB:mnfUOYTApaQHBiJ6tSD5]\n- **Tenure:** Freehold Residential [KB:mnfUOYTApaQHBiJ6tSD5]\n- **Maintenance Fee:** RM0.70 psf [KB:mnfUOYTApaQHBiJ6tSD5]\n- **Total Units:** 25 units [KB:mnfUOYTApaQHBiJ6tSD5]\n- **Total Floors:** Not on record\n- **Completion / Vacant Possession Date:** Completed (~2014 / 12 years completed) [KB:mnfUOYTApaQHBiJ6tSD5]\n- **Furnishing:** Partially furnished (Even floors: light theme; Odd floors: dark theme) [KB:EJlKTBJNaJMI2zy6KIb0]\n- **Car Park Allocation:** 3 car parks per unit (some tandem), plus 1 EV charging provision per unit [KB:EJlKTBJNaJMI2zy6KIb0]\n\n**Top Reasons to Buy:**\n- **Ultra-Low Density:** Only 25 units total for maximum exclusivity and privacy [KB:87Lv3zJCVhbI9vsAdAJy].\n- **Expansive Layouts:** Generous 3,700–3,800 sqft floor plans featuring 4+1 en-suite bedrooms [KB:EJlKTBJNaJMI2zy6KIb0, KB:lECEiopeRC1IGudnABnb].\n- **Prime Location &amp; Views:** Prestigious Bangsar address featuring a 25m swimming pool with KL city skyline views [KB:87Lv3zJCVhbI9vsAdAJy, KB:EJlKTBJNaJMI2zy6KIb0]."
}</t>
        </is>
      </c>
    </row>
    <row r="20">
      <c r="A20" s="2" t="inlineStr">
        <is>
          <t>P13</t>
        </is>
      </c>
      <c r="B20" s="2" t="inlineStr">
        <is>
          <t>Riana Trees Residences</t>
        </is>
      </c>
      <c r="C20" s="2" t="n">
        <v>27.1</v>
      </c>
      <c r="D20" s="2" t="inlineStr">
        <is>
          <t>stop</t>
        </is>
      </c>
      <c r="E20" s="2" t="inlineStr">
        <is>
          <t>{
  "answer": "### Riana Trees Residences — Project Details\n\n**Overview &amp; Key Details**\n- **Area**: Bangsar South / Pantai Sentral Park [KB:MntGNo0I7EHTgRCcupSD]\n- **Developer**: Amona Development Sdn Bhd (Joint development with IJM Land – Pantai Sentral Park) [KB:MntGNo0I7EHTgRCcupSD]\n- **Land Title**: Residential (under HDA) [KB:MntGNo0I7EHTgRCcupSD]\n- **Tenure**: Leasehold (99 years) [KB:CiT8WEvYtAhsYkfo7saJ], [KB:ipuUnkppiPk29tDLNhaE]\n- **Total Units**: 336 units [KB:MntGNo0I7EHTgRCcupSD]\n- **Total Floors**: 33 floors [KB:Q1IvCZrywEQzcEsFaHcu]\n- **Completion / VP Date**: Target Q4 2026 [KB:CiT8WEvYtAhsYkfo7saJ], [KB:ipuUnkppiPk29tDLNhaE]\n- **Maintenance Fee**: RM 0.35 psf + 10% sinking fund [KB:5y4Iy7Yc3DZLDQBuLoMN], [KB:ipuUnkppiPk29tDLNhaE]\n- **Furnishing**: Non-furnished / Bare units [KB:ipuUnkppiPk29tDLNhaE]\n- **Car Park Allocation**: 2 car park bays per unit [KB:5y4Iy7Yc3DZLDQBuLoMN], [KB:Q1IvCZrywEQzcEsFaHcu]\n\n**Layouts &amp; Pricing**\n- **Type A (Intermediate)**:\n  - **Size**: 900 sq ft [KB:Q1IvCZrywEQzcEsFaHcu]\n  - **Bedrooms**: 3 Bedrooms / 2 Bathrooms [KB:Q1IvCZrywEQzcEsFaHcu]\n  - **Gross Price**: From RM 650,000 (Non-Bumi) / RM 620,000 (Bumi) [KB:CiT8WEvYtAhsYkfo7saJ], [KB:ipuUnkppiPk29tDLNhaE]\n  - **Nett Price**: Not on record (subject to developer package / rebates) [KB:5y4Iy7Yc3DZLDQBuLoMN]\n  - **Status**: Available (not sold out)\n\n- **Type B (Corner Lot)**:\n  - **Size**: 955 sq ft [KB:Q1IvCZrywEQzcEsFaHcu]\n  - **Bedrooms**: 3 Bedrooms / 2 Bathrooms [KB:Q1IvCZrywEQzcEsFaHcu]\n  - **Gross Price**: Starting from RM 753,000++ [KB:ipuUnkppiPk29tDLNhaE]\n  - **Nett Price**: Not on record (subject to developer package / rebates) [KB:5y4Iy7Yc3DZLDQBuLoMN]\n  - **Status**: Available (not sold out)\n\n**Top Reasons to Buy**\n1. **Low Density Pure Residential Title**: Only 336 units on 3.36 acres (100 units per acre) under HDA residential land title [KB:MntGNo0I7EHTgRCcupSD], [KB:Q1IvCZrywEQzcEsFaHcu].\n2. **Prime Township Location**: Located within the 58-acre Pantai Sentral Park township, adjacent to Bangsar South with direct access via NPE highway and proximity to proposed MRT3 Circle Line [KB:5y4Iy7Yc3DZLDQBuLoMN], [KB:Q1IvCZrywEQzcEsFaHcu].\n3. **Direct Car Park Lift Access**: All parking floors allow direct access to residential units without needing to transfer lifts [KB:5y4Iy7Yc3DZLDQBuLoMN].\n4. **Competitive KL Address Pricing**: Offers great entry-level value for a low-density residential title in the Klang Valley Golden Triangle area [KB:5y4Iy7Yc3DZLDQBuLoMN].",
  "matches": []
}</t>
        </is>
      </c>
    </row>
    <row r="21">
      <c r="A21" s="2" t="inlineStr">
        <is>
          <t>P14</t>
        </is>
      </c>
      <c r="B21" s="2" t="inlineStr">
        <is>
          <t>Residensi 38 Bangsar</t>
        </is>
      </c>
      <c r="C21" s="2" t="n">
        <v>29.1</v>
      </c>
      <c r="D21" s="2" t="inlineStr">
        <is>
          <t>stop</t>
        </is>
      </c>
      <c r="E21" s="2" t="inlineStr">
        <is>
          <t>{
  "answer": "Here are the full details for **Residensi 38 Bangsar** (Project ID: `QiQthTM3nC4SqWnST1Q6`):\n\n### Layout Details\n*Note: Per-layout gross and nett price breakdowns are not on record, but overall nett pricing averages ~RM970 – RM1,000 psf after a 25% SPA rebate [KB:9y6Ze1dOE5YpG1Y0K1Rd].*\n\n- **Type A1**: 580 sqft | Studio | **Sold Out** [KB:ERmt8Ezgyvreco31e3Ml]\n- **Type A2**: 720 sqft | Bedrooms: Not on record | Gross Price: Not on record | Nett Price: Not on record\n- **Type A3**: 635 sqft | Bedrooms: Not on record | **Sold Out** [KB:hNHTXPPPSitIOHerHKUX]\n- **Type B**: 1,045 sqft | 3 Bedrooms [KB:ERmt8Ezgyvreco31e3Ml] | Gross Price: Not on record | Nett Price: ~RM1,000,000 [KB:CjGygwVKahmINPErZAd4]\n- **Type C**: 965 sqft | Bedrooms: Not on record | Gross Price: Not on record | Nett Price: Not on record\n- **Type C1**: 960 sqft | Bedrooms: Not on record | Gross Price: Not on record | Nett Price: Not on record\n- **Type D**: 1,185 sqft | Bedrooms: Not on record | Gross Price: Not on record | Nett Price: Not on record\n- **Type E**: 1,442 sqft | Bedrooms: Not on record | Gross Price: Not on record | Nett Price: Not on record\n- **Type F**: 1,225 sqft | Bedrooms: Not on record | Gross Price: Not on record | Nett Price: Not on record\n\n---\n\n### Project Overview &amp; Key Facts\n- **Area**: Bangsar [KB:Ygz59gswkT6J3AnPJIYT]\n- **Developer**: ONE JSI Development Sdn Bhd [KB:Ygz59gswkT6J3AnPJIYT]\n- **Land Title**: Not on record\n- **Maintenance Fee**: RM0.50 psf (inclusive of sinking fund) [KB:ERmt8Ezgyvreco31e3Ml]\n- **Tenure**: Leasehold (refreshed 99 years, valid till 2122) [KB:9y6Ze1dOE5YpG1Y0K1Rd]\n- **Total Units**: 281 units [KB:Ygz59gswkT6J3AnPJIYT]\n- **Total Floors**: 38 storeys [KB:Ygz59gswkT6J3AnPJIYT]\n- **Completion / Vacant Possession Date**: September 2025 (Q3 2025) [KB:Ygz59gswkT6J3AnPJIYT]\n- **Furnishing**: Full air-conditioning (hotel-style ducted in living hall, split units in rooms) and full kitchen [KB:9y6Ze1dOE5YpG1Y0K1Rd]\n- **Car Park Allocation**: 1 car park for smaller units; 2 side-by-side car parks for larger units [KB:ERmt8Ezgyvreco31e3Ml]\n\n---\n\n### Top Reasons to Buy\n1. **Unbeatable LRT Proximity**: Closest new project to Bangsar LRT station (located right opposite) with an official Bangsar address [KB:9y6Ze1dOE5YpG1Y0K1Rd].\n2. **High Rebates &amp; Cashback**: 25% rebate off SPA price, bringing nett pricing to ~RM970 psf nett, with potential cashback for 80–85% loan margin approvals [KB:9y6Ze1dOE5YpG1Y0K1Rd].\n3. **Low Density**: Only 281 units across a 1.16-acre site [KB:9y6Ze1dOE5YpG1Y0K1Rd].\n4. **Premium Fittings**: Equipped with Villeroy &amp; Boch bathroom sanitaryware and ducted air-conditioning in the living area [KB:9y6Ze1dOE5YpG1Y0K1Rd]."
}</t>
        </is>
      </c>
    </row>
    <row r="22">
      <c r="A22" s="2" t="inlineStr">
        <is>
          <t>P15</t>
        </is>
      </c>
      <c r="B22" s="2" t="inlineStr">
        <is>
          <t>Lunar Seputeh</t>
        </is>
      </c>
      <c r="C22" s="2" t="n">
        <v>28.3</v>
      </c>
      <c r="D22" s="2" t="inlineStr">
        <is>
          <t>stop</t>
        </is>
      </c>
      <c r="E22" s="2" t="inlineStr">
        <is>
          <t>{
  "matches": [],
  "answer": "Here are the details on record for **Lunar Seputeh**:\n\n### Project Overview\n- **Area**: Seputeh (Jalan Telok Datok, Off Jalan Klang Lama, Kuala Lumpur) [KB:NEsZFznN5W1yR6ORoGa1]\n- **Developer**: MRCB Seputeh Land Sdn Bhd (subsidiary of MRCB) [KB:NEsZFznN5W1yR6ORoGa1]\n- **Land Title**: Residential [KB:NEsZFznN5W1yR6ORoGa1]\n- **Tenure**: Leasehold 99 years (expiring 11 May 2113) [KB:NEsZFznN5W1yR6ORoGa1]\n- **Total Units**: 483 units [KB:NEsZFznN5W1yR6ORoGa1]\n- **Total Floors / Storeys**: 50 storeys (1 tower) [KB:NEsZFznN5W1yR6ORoGa1]\n- **Completion / Vacant Possession Date**: Q4 2030 (December 2030) [KB:NEsZFznN5W1yR6ORoGa1, KB:Fmm4kDCc2ywP2ruQuhA9]\n- **Maintenance Fee**: Not on record (TBC) [KB:vUKaK1fxUdWIYje0xnlI, KB:TU8xUNyiV8YdneY6CS34]\n- **Furnishing**: Not on record\n\n---\n\n### Layout Details &amp; Car Park Allocation\n*(Note: A separate itemised breakdown of exact gross vs. nett prices for each individual unit is not on record; listed prices reflect current package price ranges. Sales package on record indicates an 8% rebate upon SPA + 2% upon Stage 2A).* \n\n- **Type A**\n  - **Size**: 683 sq.ft. [KB:vUKaK1fxUdWIYje0xnlI]\n  - **Bedrooms**: 1+1 bedrooms, 1 bathroom\n  - **Price Range**: RM607,800 – RM643,800\n  - **Gross vs. Nett Price Breakdown**: Not on record\n  - **Car Park Allocation**: 1 car park [KB:vUKaK1fxUdWIYje0xnlI]\n  - **Status**: Active (not sold out)\n\n- **Type B1 / B1A**\n  - **Size**: 841 sq.ft. [KB:vUKaK1fxUdWIYje0xnlI]\n  - **Bedrooms**: 2 bedrooms, 2 bathrooms\n  - **Price Range**: RM752,800 – RM795,800\n  - **Gross vs. Nett Price Breakdown**: Not on record\n  - **Car Park Allocation**: 2 car parks [KB:vUKaK1fxUdWIYje0xnlI]\n  - **Status**: Active (not sold out)\n\n- **Type B2**\n  - **Size**: 930 sq.ft. [KB:vUKaK1fxUdWIYje0xnlI]\n  - **Bedrooms**: 3 bedrooms, 2 bathrooms\n  - **Price Range**: RM845,800 – RM875,800\n  - **Gross vs. Nett Price Breakdown**: Not on record\n  - **Car Park Allocation**: 2 car parks [KB:vUKaK1fxUdWIYje0xnlI]\n  - **Status**: Active (not sold out)\n\n- **Type C1**\n  - **Size**: 1,280 sq.ft. [KB:vUKaK1fxUdWIYje0xnlI]\n  - **Bedrooms**: 3 bedrooms, 3+1 bathrooms (Dual Key)\n  - **Price Range**: RM1,112,800 – RM1,158,800\n  - **Gross vs. Nett Price Breakdown**: Not on record\n  - **Car Park Allocation**: 3 car parks [KB:vUKaK1fxUdWIYje0xnlI]\n  - **Status**: Active (not sold out)\n\n- **Type C2 / C2A**\n  - **Size**: 1,280 sq.ft. [KB:vUKaK1fxUdWIYje0xnlI]\n  - **Bedrooms**: 3 bedrooms, 3+1 bathrooms\n  - **Price Range**: RM1,101,800 – RM1,140,800\n  - **Gross vs. Nett Price Breakdown**: Not on record\n  - **Car Park Allocation**: 3 car parks [KB:vUKaK1fxUdWIYje0xnlI]\n  - **Status**: Active (not sold out)\n\n- **Type D**\n  - **Size**: 1,646 sq.ft. [KB:vUKaK1fxUdWIYje0xnlI]\n  - **Bedrooms**: 4+1 bedrooms, 4+1 bathrooms\n  - **Price Range**: RM1,416,800 – RM1,453,800\n  - **Gross vs. Nett Price Breakdown**: Not on record\n  - **Car Park Allocation**: 3 car parks [KB:vUKaK1fxUdWIYje0xnlI]\n  - **Status**: Active (not sold out)\n\n---\n\n### Top Reasons to Buy [KB:FE6V2N2FD3vsEecZuzeO]\n1. **Affluent Neighbourhoods**: Surrounded by Mid Valley, Seputeh, Taman Desa, Bangsar, and Bangsar South.\n2. **1km Riverside Park &amp; Promenade Boulevard**: Direct outdoor lifestyle access for family and pets (pet-friendly with dedicated 'Paw Haven' facilities).\n3. **Proximity to Key Hubs**: Nearby Mid Valley Megamall, The Gardens, Bangsar South, and KL Eco City.\n4. **NPE Link Road Connectivity**: Direct access link bridge to NPE, Federal Highway, and Sungai Besi Highway.\n5. **Low Density**: 483 units across 2.32 acres (208 units per acre).\n6. **Family-Sized Layouts**: Generous sizes up to 1,646 sq.ft., ideal for family living, holiday homes, or retirement.\n7. **Comprehensive Lifestyle Facilities**: Over 75 Japanese/Zen-inspired facilities across Ground Level, Level 12 Podium, Level 12M, and Level 45 Sky Garden."
}</t>
        </is>
      </c>
    </row>
    <row r="23">
      <c r="A23" s="2" t="inlineStr">
        <is>
          <t>P16</t>
        </is>
      </c>
      <c r="B23" s="2" t="inlineStr">
        <is>
          <t>Sentral Suites @ KL Sentral</t>
        </is>
      </c>
      <c r="C23" s="2" t="n">
        <v>37</v>
      </c>
      <c r="D23" s="2" t="inlineStr">
        <is>
          <t>stop</t>
        </is>
      </c>
      <c r="E23" s="2" t="inlineStr">
        <is>
          <t>{
  "answer": "### Sentral Suites @ KL Sentral\n\n**Project Facts**\n- **Area**: KL Sentral [KB:7A0IhjLXTFwJ7yPx3aKg]\n- **Developer**: Country Annexe Sdn. Bhd. (A subsidiary of MRCB) [KB:7A0IhjLXTFwJ7yPx3aKg, KB:oEBx5ywO6rPJsUHtOU4h]\n- **Land Title**: Commercial under HDA (Housing Development Act) [KB:7A0IhjLXTFwJ7yPx3aKg]\n- **Maintenance Fee**: RM0.55 psf (inclusive of sinking fund) [KB:7A0IhjLXTFwJ7yPx3aKg]\n- **Tenure**: Leasehold 99 Years (expiring 25 Sept 2115) [KB:7ydiY1QJjv4Z10yrb6X4, KB:oEBx5ywO6rPJsUHtOU4h]\n- **Total Units**: 1,434 units (Tower 1: 458 units, Tower 2: 458 units, Tower 3: 518 units) [KB:7ydiY1QJjv4Z10yrb6X4]\n- **Total Floors / Storeys**: 43 storeys [KB:HTa0JFgLnAfAT1IbO59V, KB:oEBx5ywO6rPJsUHtOU4h]\n- **Completion / VP Date**: Completed [KB:7A0IhjLXTFwJ7yPx3aKg]\n\n---\n\n**Layouts, Sizes, Prices &amp; Car Parks**\n*Note: Structured per-layout nett and gross price breakdown table and individual sold-out unit status are not on record.*\n\n- **Layout Types &amp; Car Park Allocation** [KB:7ydiY1QJjv4Z10yrb6X4, KB:HTa0JFgLnAfAT1IbO59V]:\n  - **Type A**: 650 sq ft | 1 Bedroom | Car Park: 1 / 2 / Tandem\n  - **Type A1**: 653 sq ft | 1 Bedroom | Car Park: 1 / 2\n  - **Type Corner A**: 724 sq ft | 1 Bedroom | Car Park: 1 / 2 / Tandem\n  - **Type Corner A1**: 765 sq ft | 1 Bedroom | Car Park: 1 / 2 / Tandem\n  - **Type B / B2**: 812 – 826 sq ft | 2 Bedrooms + Study | Car Park: 1 / 2\n  - **Type B1**: 868 sq ft | 2 Bedrooms | Car Park: 1 / 2\n  - **Type Corner C**: 1,025 sq ft | 3 Bedrooms | Car Park: 2\n  - **Type C**: 1,138 sq ft | Car Park: 2\n  - **Type Corner D**: 1,166 sq ft | Car Park: 2\n\n- **Price Range by Tower** [KB:7ydiY1QJjv4Z10yrb6X4]:\n  - **Tower 1**: RM 728,800 – RM 1,299,800\n  - **Tower 2**: RM 841,800 – RM 1,572,800\n  - **Tower 3**: RM 804,800 – RM 1,367,800\n  - *Rebate Note*: 25% rebate package off SPA price is offered by developer.\n\n---\n\n**Furnishing Package**\n- Full air-conditioners throughout unit\n- Full kitchen cabinet (top &amp; bottom) by Signature Kitchen\n- Full bathrooms with built-in water heater &amp; shower screen\n- Hood &amp; hob\n- 2-in-1 washer dryer\n\n---\n\n**Top Reasons to Buy** [KB:7A0IhjLXTFwJ7yPx3aKg, KB:q80B4Z1UmPDaGB4TTFTL]:\n1. **Best Transport Hub in ASEAN**: Direct connectivity to 10 train lines (MRT, LRT, KTM, ERL, Monorail) reaching 180 stations.\n2. **Big City Vibes in 72 Acres**: Integrated township with 21 corporate towers, 5 hotels, 4 residential developments, and NU Sentral mall.\n3. **2nd Largest CBD After KLCC**: Hub for global MNCs (Google, Facebook, Shell, Allianz, PwC).\n4. **High Rental Demand**: Large expatriate and high-earner workforce; rental demand from RM3,000–RM5,000 (~5%+ yields).\n5. **Limited Supply of Small Units**: 600–1,000 sq ft residential units are rare in KL Sentral.\n6. **Last Residential Project in KL Sentral**: The final residential plot in the 72-acre masterplan.\n7. **Near Wealthy Neighborhoods**: Close to Bangsar, Seputeh, Damansara Heights, Mont Kiara, and PJ.\n8. **Excellent Accessibility**: Convenient travel by car or train.\n\n---\n\n**Not on Record**\n- Per-layout gross and nett price list (only overall tower price ranges are on record)\n- Sold-out status for individual layout types"
}</t>
        </is>
      </c>
    </row>
    <row r="24">
      <c r="A24" s="2" t="inlineStr">
        <is>
          <t>P17</t>
        </is>
      </c>
      <c r="B24" s="2" t="inlineStr">
        <is>
          <t>The Cedar Damansara Heights</t>
        </is>
      </c>
      <c r="C24" s="2" t="n">
        <v>27</v>
      </c>
      <c r="D24" s="2" t="inlineStr">
        <is>
          <t>stop</t>
        </is>
      </c>
      <c r="E24" s="2" t="inlineStr">
        <is>
          <t>```json
{
  "answer": "### The Cedar Damansara Heights — Project Details\n\n**Project Overview &amp; Key Information:**\n- **Area:** Damansara Heights [KB:JoXhwpB6qRaq9D1HS0gA]\n- **Developer:** Satin Magic Sdn Bhd (Datuk Jagan Sabapathy), managed by Tribeca Real Estate Management Sdn Bhd [KB:ekNzwDB5rKUziEUMPSTs]\n- **Land Title:** Strata title freehold [KB:ZYBAFkwHC8cjOi5IHcLf]\n- **Tenure:** Freehold [KB:JoXhwpB6qRaq9D1HS0gA]\n- **Total Units:** 70 units [KB:ekNzwDB5rKUziEUMPSTs]\n- **Total Floors:** Not on record\n- **Completion / Vacant Possession Date:** Expected Q3 2025 [KB:JoXhwpB6qRaq9D1HS0gA], [KB:ZYBAFkwHC8cjOi5IHcLf]\n- **Maintenance Fee:** Starting from RM0.66 psf + 10% sinking fund [KB:JoXhwpB6qRaq9D1HS0gA], [KB:ZYBAFkwHC8cjOi5IHcLf]\n- **Car Park Allocation:** From 3 to 9 parking bays per unit (depending on room type); each unit includes 1 AC EV Charger [KB:ZYBAFkwHC8cjOi5IHcLf]\n\n**Furnishing &amp; Fittings:**\n- **Status:** Partially fitted [KB:ZYBAFkwHC8cjOi5IHcLf]\n- **Wardrobes:** Schmalenbach (Germany) [KB:ZYBAFkwHC8cjOi5IHcLf]\n- **Wet Kitchen:** Leicht cabinetry with Bosch appliances [KB:ZYBAFkwHC8cjOi5IHcLf]\n- **Dry Kitchen:** Siematic cabinetry, Wolf &amp; Miele appliances, Liebherr refrigerator [KB:ZYBAFkwHC8cjOi5IHcLf]\n- **Air Conditioning:** VRV centralised air conditioning [KB:ZYBAFkwHC8cjOi5IHcLf]\n- **Sanitary Ware:** Dorn Bracht toilet faucets, Kohler master WC, Claybrook sinks &amp; bathtubs [KB:ZYBAFkwHC8cjOi5IHcLf]\n- **Blinds &amp; Curtains:** Not provided\n\n**Top Reasons to Buy:**\n- Not on record in official marketing documents, though key highlights include ultra-low density living (70 units across 4.2 acres), premium luxury European brand fittings, and an exclusive Damansara Heights address [KB:ekNzwDB5rKUziEUMPSTs], [KB:ZYBAFkwHC8cjOi5IHcLf].\n\n**Layouts, Sizes, Bedrooms &amp; Pricing:**\nA structured layout table (`unitTypes`) is not on record, and individual unit-by-unit nett prices or complete sold-out statuses across all layouts are not on record. Below are the recorded layout types and configurations [KB:ekNzwDB5rKUziEUMPSTs], [KB:IanQRuVusTKaeOKaNO8P]:\n\n- **Type A1:** 3,461 sqft | 3+1 Bedrooms | Gross/Nett Price: Not on record | Status: Not on record\n- **Type A2:** 3,554 sqft | 3+1 Bedrooms | Gross/Nett Price: Not on record | Status: Not on record\n- **Type A:** 7,169 sqft | 4+1 Bedrooms | Gross Asking Price: RM14,796,816 (Level 5 sample asking before discount) [KB:ekNzwDB5rKUziEUMPSTs] | Nett Price: Not on record | Status: Not on record\n- **Type B1:** 4,852 sqft | 4+1 Bedrooms | Gross Asking Price: RM9,262,468 (Level 1) / RM9,398,324 (Level 2) sample asking before discount [KB:ekNzwDB5rKUziEUMPSTs] | Nett Price: Not on record | Status: Not on record\n- **Type B2:** 3,516 sqft | 4+1 Bedrooms | Gross/Nett Price: Not on record | Status: Not on record\n- **Type B:** 5,958 sqft | 4+1 Bedrooms | Gross/Nett Price: Not on record | Status: Not on record\n- **Type C1:** 4,692 sqft | 4+1 Bedrooms | Gross/Nett Price: Not on record | Status: Not on record\n- **Type C2:** 2,782 sqft | 2+1 Bedrooms | Gross/Nett Price: Not on record | Status: Not on record\n- **Type C:** 5,208 sqft | 3+1 Bedrooms | Gross/Nett Price: Not on record | Status: Not on record\n- **Type D:** 7,560 sqft | 4+1 Bedrooms | Gross/Nett Price: Not on record | Status: Not on record\n- **Type E:** 5,275 sqft | 4+1 Bedrooms | Gross/Nett Price: Not on record | Status: Not on record\n\n*(For unit-by-unit active availability, live nett price calculations, and sold-out updates, please check directly with D2 sales admin.)*"
}
```</t>
        </is>
      </c>
    </row>
    <row r="25">
      <c r="A25" s="2" t="inlineStr">
        <is>
          <t>P18</t>
        </is>
      </c>
      <c r="B25" s="2" t="inlineStr">
        <is>
          <t>Tria Seputeh</t>
        </is>
      </c>
      <c r="C25" s="2" t="n">
        <v>31.2</v>
      </c>
      <c r="D25" s="2" t="inlineStr">
        <is>
          <t>stop</t>
        </is>
      </c>
      <c r="E25" s="2" t="inlineStr">
        <is>
          <t>{
  "answer": "### Tria Seputeh — Project Details\n\n#### **Layouts &amp; Pricing**\n* **Type X5 &amp; X4**: 764 &amp; 797 sqft | 2 bedrooms | **Nett price**: Not on record | **Gross price**: Not on record | **Status**: Not on record\n* **Type X2, X1 &amp; X3**: 958 &amp; 1,001 sqft | 2+1 or 3 bedrooms | **Nett price**: Not on record | **Gross price**: Not on record | **Status**: Not on record\n* **Type Y3**: 1,496 sqft | 3+1 bedrooms | **Nett price**: Not on record | **Gross price**: Not on record | **Status**: Not on record\n* **Type Y1**: 1,518 sqft | 3+1 bedrooms | **Nett price**: Not on record | **Gross price**: Not on record | **Status**: Not on record\n* **Type Y2**: 1,647 sqft | 3+1 bedrooms | **Nett price**: Not on record | **Gross price**: Not on record | **Status**: Not on record\n* **Type Z1**: 1,733 sqft | 4+1 bedrooms | **Nett price**: Not on record | **Gross price**: Not on record | **Status**: Not on record\n* **Type Z2**: 1,911 sqft | 3+1 bedrooms | **Nett price**: Not on record | **Gross price**: Not on record | **Status**: Not on record\n* **Type Z3**: 2,013 sqft | 4+1 bedrooms | **Nett price**: Not on record | **Gross price**: Not on record | **Status**: Not on record\n* **Type Z4**: 2,874 sqft | 4+1 bedrooms | **Nett price**: Not on record | **Gross price**: Not on record | **Status**: Not on record\n* **Sky Villa**: 3,025 – 4,080 sqft | Various | **Nett price**: Not on record | **Gross price**: Not on record | **Status**: Not on record\n* **River Villa**: 1,948 – 4,521 sqft | Various | **Nett price**: Not on record | **Gross price**: Not on record | **Status**: Not on record\n\n*(Note: Overall selling prices range from RM650,560 to RM3,433,040 [KB:n7kwnHcmftO5XOYKJ4uu], but layout-specific breakdown of nett/gross price and per-layout sold out statuses are not on record.)*\n\n#### **Project Specifications**\n* **Area**: Seputeh (border of Old Klang Road &amp; Seputeh, 650m to Mid Valley) [KB:mbS09fhOtat1MX2UHfQR]\n* **Developer**: MRCB (MRCB Seputeh Land Sdn Bhd) [KB:mbS09fhOtat1MX2UHfQR] [KB:fcOxOIJP0idaOjGLsJWc]\n* **Land Title**: Not on record\n* **Maintenance Fee**: RM0.40 psf (inclusive of sinking fund) [KB:mbS09fhOtat1MX2UHfQR]\n* **Tenure**: Leasehold till 2113 [KB:mbS09fhOtat1MX2UHfQR]\n* **Total Units**: 734 residential units (Pelto: 343, Ebon: 145, Cavi: 229) + 17 River Villas [KB:fcOxOIJP0idaOjGLsJWc]\n* **Total Floors**: Pelto (38 storeys), Ebon (33 storeys), Cavi (33 storeys)\n* **Completion / VP Date**: Q2 2023 [KB:mbS09fhOtat1MX2UHfQR]\n* **Top Reasons to Buy**: Not on record\n* **Furnishing**: Air conditioning, water heater, kitchen cabinet, kitchen appliances, sanitary fittings, floor finishes, window glass, standard door height\n* **Car Park Allocation**: Not on record"
}</t>
        </is>
      </c>
    </row>
    <row r="26">
      <c r="A26" s="2" t="inlineStr">
        <is>
          <t>P19</t>
        </is>
      </c>
      <c r="B26" s="2" t="inlineStr">
        <is>
          <t>d'Brightton titiwangsa</t>
        </is>
      </c>
      <c r="C26" s="2" t="n">
        <v>32.3</v>
      </c>
      <c r="D26" s="2" t="inlineStr">
        <is>
          <t>stop</t>
        </is>
      </c>
      <c r="E26" s="2" t="inlineStr">
        <is>
          <t>{
  "answer": "### Project Details: d'Brightton titiwangsa\n\n* **Area:** Titiwangsa [KB:NJF4TFOBoge0S8HrRxtj]\n* **Developer:** GSD Land [KB:NJF4TFOBoge0S8HrRxtj]\n* **Land Title:** Residential Title [KB:M4wpeUP95oJGUkqqeMBk]\n* **Tenure:** Leasehold till 2113 [KB:NJF4TFOBoge0S8HrRxtj]\n* **Maintenance Fee:** RM0.33 psf (inclusive of sinking fund) [KB:NJF4TFOBoge0S8HrRxtj]\n* **Total Units:** 766 units (720 high-rise units, 46 villas) [KB:NJF4TFOBoge0S8HrRxtj]\n* **Total Floors:** Not on record\n* **Completion / Vacant Possession Date:** Q4 2024 [KB:NJF4TFOBoge0S8HrRxtj]\n* **Furnishing:** Not on record\n* **Car Park Allocation:** 2 car parks for 1,044 sqft and 1,076 sqft units; 3 car parks for 1,313 / 1,324 sqft units [KB:M4wpeUP95oJGUkqqeMBk][KB:Ltj74wJaDZa2Tdr5U9pf]\n\n---\n\n### Layouts &amp; Pricing\n\n* **1,044 sqft**\n  * **Bedrooms:** 3 rooms (2 baths) [KB:M4wpeUP95oJGUkqqeMBk]\n  * **Nett Price:** From RM550,000 [KB:M4wpeUP95oJGUkqqeMBk]\n  * **Gross Price:** Not on record\n  * **Status:** Available\n\n* **1,076 sqft**\n  * **Bedrooms:** 3 rooms (2 baths, 2 balconies) [KB:Ltj74wJaDZa2Tdr5U9pf]\n  * **Nett Price:** From RM600,000 [KB:Ltj74wJaDZa2Tdr5U9pf]\n  * **Gross Price:** Not on record\n  * **Status:** Available\n\n* **1,313 / 1,324 sqft (Dual Key)**\n  * **Bedrooms:** 3 rooms (2 baths) [KB:Ltj74wJaDZa2Tdr5U9pf]\n  * **Nett Price:** RM720,000 – RM850,000 [KB:TzFNnP8wCZJuuJzNQbEY]\n  * **Gross Price:** Not on record\n  * **Status:** Sold out [KB:Ltj74wJaDZa2Tdr5U9pf]\n\n* **1,194 sqft**\n  * **Bedrooms:** Not on record\n  * **Nett Price:** RM7xxk [KB:GEzMInDlLb15PC5Pb3jE]\n  * **Gross Price:** Not on record\n  * **Status:** Sold out [KB:GEzMInDlLb15PC5Pb3jE]\n\n* **Penthouse (2,163 – 2,400 sqft)**\n  * **Bedrooms:** Not on record\n  * **Nett Price:** RM1.23M – RM1.35M [KB:Ltj74wJaDZa2Tdr5U9pf]\n  * **Gross Price:** Not on record\n  * **Status:** Sold out [KB:Ltj74wJaDZa2Tdr5U9pf]\n\n* **3-Storey Villa (2,900 sqft)**\n  * **Bedrooms:** Not on record\n  * **Nett Price:** RM1.5M\n  * **Gross Price:** Not on record\n  * **Status:** Sold out\n\n---\n\n### Top Reasons to Buy\n\n1. **Resort-Style Facilities:** 3.5 acres of dedicated facilities across 5 levels [KB:M4wpeUP95oJGUkqqeMBk].\n2. **Low-Density Development:** 7.66 acres total land with a low density of 100 units per acre [KB:M4wpeUP95oJGUkqqeMBk].\n3. **Generous Ceiling Height:** High 10.7 ft ceiling height for better ventilation and space feel [KB:M4wpeUP95oJGUkqqeMBk].\n4. **Panoramic Views:** Unobstructed views of Taman Tasik Titiwangsa, KLCC skyline, or Genting Highlands [KB:M4wpeUP95oJGUkqqeMBk]."
}</t>
        </is>
      </c>
    </row>
    <row r="27">
      <c r="A27" s="2" t="inlineStr">
        <is>
          <t>P20</t>
        </is>
      </c>
      <c r="B27" s="2" t="inlineStr">
        <is>
          <t>IJM Sierra Hijauan</t>
        </is>
      </c>
      <c r="C27" s="2" t="n">
        <v>26.2</v>
      </c>
      <c r="D27" s="2" t="inlineStr">
        <is>
          <t>stop</t>
        </is>
      </c>
      <c r="E27" s="2" t="inlineStr">
        <is>
          <t>{
  "answer": "Here are the project details for **IJM Sierra Hijauan**:\n\n### Project Overview\n- **Area**: Ukay Perdana, Ampang, Selangor [KB:xDAu3otjbk2PIreFSX0s]\n- **Developer**: Sierra Ukay Sdn Bhd (subsidiary of IJM Berhad) [KB:xDAu3otjbk2PIreFSX0s]\n- **Land Title**: Residential [KB:xDAu3otjbk2PIreFSX0s]\n- **Tenure**: Leasehold (expiring 2114) [KB:xDAu3otjbk2PIreFSX0s]\n- **Total Units**: 310 landed units [KB:xDAu3otjbk2PIreFSX0s]\n- **Total Floors**: Not on record\n- **Expected Completion / Vacant Possession**: End of 2025 (for Phase 2E &amp; Phase 2H) [KB:xDAu3otjbk2PIreFSX0s]\n- **Maintenance Fee**: TBC (previously RM0.20 psf x land area) [KB:xDAu3otjbk2PIreFSX0s]\n- **Furnishing**: Basic bare unit with lighting and aircon points provided [KB:HD78nOe5vpZYqHT69a8i]\n- **Car Park Allocation**: Not on record\n- **Top Reasons to Buy**: Not on record\n\n---\n\n### Layout &amp; Pricing Details\n*Note: Detailed per-layout tables (built-up sqft, exact bedroom counts, individual nett price, and gross price per layout type) are not on record.* \n\nAvailable phase and unit sizing information on record [KB:HD78nOe5vpZYqHT69a8i, KB:oKJfB0y3btXq4nLDivHu]:\n\n- **Linked Villas** (Land Sizes: 24' x 60', 22' x 72.5', 22' x 75'):\n  - **Phase 2H** (60 units): Available (Estimated price from ~RM1.3 million) [KB:HD78nOe5vpZYqHT69a8i]\n- **Semi-Detached** (Land Size: 40' x 80'):\n  - **Phase 2E** (24 Semi-Ds + 1 Bungalow): Available (Estimated price from ~RM2.2 million) [KB:HD78nOe5vpZYqHT69a8i]\n  - **Phase 2B**: Sold out / Completed [KB:HD78nOe5vpZYqHT69a8i, KB:oKJfB0y3btXq4nLDivHu]\n- **Phase 2C** (50 units): Sold out [KB:HD78nOe5vpZYqHT69a8i]\n- **Phase 2D** (80 units): Sold out [KB:HD78nOe5vpZYqHT69a8i]"
}</t>
        </is>
      </c>
    </row>
    <row r="28">
      <c r="A28" s="2" t="inlineStr">
        <is>
          <t>P21</t>
        </is>
      </c>
      <c r="B28" s="2" t="inlineStr">
        <is>
          <t>Puncak Wangsamas Phase 2</t>
        </is>
      </c>
      <c r="C28" s="2" t="n">
        <v>27.1</v>
      </c>
      <c r="D28" s="2" t="inlineStr">
        <is>
          <t>stop</t>
        </is>
      </c>
      <c r="E28" s="2" t="inlineStr">
        <is>
          <t>```json
{
  "answer": "Here are the details for **Puncak Wangsamas Phase 2** (Project ID: `eZlYoYQ0Y8Mhk48IwCw7`):\n\n### Layout Details [KB:sTkiMAcg1U7rk3g0uAOm][KB:Xw4FOvvyaOxKoQzCIuHW]\n- **Type A1**\n  - **Size / Built-up:** 3,899 sqft (Land Area: 4,101 – 8,181 sqft)\n  - **Bedrooms:** 5+1 Bedrooms (6 Bathrooms + 1 Powder Room)\n  - **Nett Price:** RM4,600,000 – RM5,000,000\n  - **Gross Price (List / SPA Price):** RM4,700,000 – RM5,786,000 *(D2 project facts lists gross price as under review)*\n- **Type A2**\n  - **Size / Built-up:** 4,109 sqft (Land Area: 3,326 – 4,510 sqft)\n  - **Bedrooms:** 5+1 Bedrooms (6 Bathrooms + 1 Powder Room)\n  - **Nett Price:** RM3,300,000 – RM3,400,000\n  - **Gross Price (List / SPA Price):** RM3,495,000 – RM4,200,000 *(D2 project facts lists gross price as under review)*\n- **Type A4**\n  - **Size / Built-up:** 4,728 sqft (Land Area: 3,326 – 6,060 sqft)\n  - **Bedrooms:** 5+1 Bedrooms (6 Bathrooms + 1 Powder Room)\n  - **Nett Price:** RM3,200,000 – RM4,200,000\n  - **Gross Price (List / SPA Price):** RM3,656,000 – RM4,803,000 *(D2 project facts lists gross price as under review)*\n- **Phase 1 Units:** Fully Sold (30 units) [KB:CztUSSsxbbHrbvRW7paC]\n\n### Project Specifications\n- **Area:** Bukit Wangsamas, Wangsa Maju, Kuala Lumpur [KB:sTkiMAcg1U7rk3g0uAOm]\n- **Developer:** Low Keng Huat Berhad [KB:sTkiMAcg1U7rk3g0uAOm]\n- **Land Title:** Individual [KB:sTkiMAcg1U7rk3g0uAOm]\n- **Maintenance Fee:** RM250 / month (guardhouse security fee) [KB:khvUiG7CYtrQqKA2j0vL]\n- **Tenure:** Leasehold till 2121 [KB:sTkiMAcg1U7rk3g0uAOm]\n- **Total Units:** 54 Semi-Detached Homes (Phase 1: 30 units; Phase 2: 24 units) [KB:sTkiMAcg1U7rk3g0uAOm][KB:CztUSSsxbbHrbvRW7paC]\n- **Total Floors:** 3 Storeys [KB:CztUSSsxbbHrbvRW7paC]\n- **Completion / Vacant Possession Date:** Estimated Q3 2027 (24 months completion target) [KB:CztUSSsxbbHrbvRW7paC]\n- **Furnishing:** High-spec finishes provided (Marble flooring in living, dining &amp; dry kitchen; Timber flooring in bedrooms, family area &amp; staircase; Private lift; Auto gate; EV charger point; TOTO sanitary wares) [KB:Xw4FOvvyaOxKoQzCIuHW][KB:7c2C721cF0LE2BL7i7Fj]\n- **Car Park Allocation:** Not on record\n\n### Top Reasons to Buy [KB:Xw4FOvvyaOxKoQzCIuHW][KB:7c2C721cF0LE2BL7i7Fj]\n1. **Rare Landed Near KL City:** Ultra-rare new landed development ~6 km from KLCC, close to Great Eastern Mall and U-Thant Embassy Row.\n2. **Hilltop &amp; Panoramic Views:** Elevated hilltop location featuring views of KL city landmarks.\n3. **Low Density:** Exclusive enclave with only 54 total semi-detached homes.\n4. **Individual Land Title:** Offers flexibility for extension or structural alterations subject to approval.\n5. **Premium Fittings:** Units include private lifts, marble and timber flooring, EV charging points, and TOTO sanitary wares."
}
```</t>
        </is>
      </c>
    </row>
    <row r="29">
      <c r="A29" s="2" t="inlineStr">
        <is>
          <t>P22</t>
        </is>
      </c>
      <c r="B29" s="2" t="inlineStr">
        <is>
          <t>The Reya</t>
        </is>
      </c>
      <c r="C29" s="2" t="n">
        <v>28.2</v>
      </c>
      <c r="D29" s="2" t="inlineStr">
        <is>
          <t>stop</t>
        </is>
      </c>
      <c r="E29" s="2" t="inlineStr">
        <is>
          <t>```json
{
  "answer": "### The Reya — Project Details\n\n**Layout Breakdown**\n- **Type A1**: 1,350 sqft | 3+1 bedrooms, 2 bathrooms | Nett Price: From RM830,000+ [KB:R9QOScLHnju49NAweTCH] | Gross Price: Not on record\n- **Type A2 (Corner)**: 1,420 sqft | 3+1 bedrooms, 3 bathrooms | Nett Price: From RM880,000+ [KB:R9QOScLHnju49NAweTCH] | Gross Price: Not on record\n- **Type A3**: Sold Out [KB:R9QOScLHnju49NAweTCH] (Size &amp; Bedrooms: Not on record) | Nett Price: Sold Out | Gross Price: Sold Out\n- **Type A4**: 1,420 sqft | 3+1 bedrooms, 2 bathrooms | Nett Price: From RM870,000+ [KB:R9QOScLHnju49NAweTCH] | Gross Price: Not on record\n- **Type B**: 1,758 sqft | 4+1 bedrooms, 3 bathrooms | Nett Price: From RM1,200,000+ [KB:R9QOScLHnju49NAweTCH] | Gross Price: Not on record\n- **Type C**: 2,210 sqft | 4+1 bedrooms + 1 studio, 5 bathrooms | Nett Price: From RM1,500,000+ [KB:R9QOScLHnju49NAweTCH] | Gross Price: Not on record\n\n**Key Project Information**\n- **Area**: Desa Melawati / KL East, Kuala Lumpur [KB:jcWQh7l2xsQuw3KupwBf]\n- **Developer**: Sime Darby Property [KB:jcWQh7l2xsQuw3KupwBf]\n- **Land Title**: Not on record\n- **Maintenance Fee**: RM0.40 psf (inclusive of sinking fund) [KB:jcWQh7l2xsQuw3KupwBf]\n- **Tenure**: Freehold [KB:jcWQh7l2xsQuw3KupwBf]\n- **Total Units**: 480 units\n- **Total Floors**: Wing A (Level 7 to 36); Wing B (Level 3 to 34)\n- **Completion / Vacant Possession**: Q3–Q4 2029 [KB:UtfXAGjbwoChZiz7EGGB]\n- **Top Reasons to Buy**:\n  - Sits along the world's longest quartz ridge (\"The Dragon\", Joey Yap endorsed) with 47% natural forest preserved on site\n  - 300m direct covered walkway to KL East Mall\n  - Low-density development (480 units across 6.39 acres)\n  - Wide living hall layout (16ft to 21ft wide)\n- **Furnishing**: Partly furnished (smart digital lock, full air-conditioning, storage water heater system, wet kitchen top &amp; bottom cabinets with hood &amp; hob, child-friendly laminated flooring in living room and bedrooms)\n- **Car Park Allocation**:\n  - Type A: 2 car parks\n  - Type B: 2 to 3 car parks (1 single + 1 tandem)\n  - Type C: 3 car parks"
}
```</t>
        </is>
      </c>
    </row>
    <row r="30">
      <c r="A30" s="2" t="inlineStr">
        <is>
          <t>P23</t>
        </is>
      </c>
      <c r="B30" s="2" t="inlineStr">
        <is>
          <t>Padang Residences</t>
        </is>
      </c>
      <c r="C30" s="2" t="n">
        <v>30.7</v>
      </c>
      <c r="D30" s="2" t="inlineStr">
        <is>
          <t>stop</t>
        </is>
      </c>
      <c r="E30" s="2" t="inlineStr">
        <is>
          <t>{
  "answer": "### Project Details: Padang Residences\n\n- **Area**: Jalan Sultan Yahya Petra (formerly Jalan Semarak), Kota Semarak / Setapak, Kuala Lumpur [KB:UkphwtjVxtx8lvNFgzJd]\n- **Developer**: MRCB &amp; TH Properties [KB:UkphwtjVxtx8lvNFgzJd]\n- **Land Title**: Commercial under HDA Condominium [KB:UkphwtjVxtx8lvNFgzJd]\n- **Maintenance Fee**: RM0.35 psf (inclusive of sinking fund) [KB:UkphwtjVxtx8lvNFgzJd]\n- **Tenure**: Leasehold (expiry 26 July 2117) [KB:UkphwtjVxtx8lvNFgzJd]\n- **Total Units**: 1,226 units (Tower A: 303, Tower B: 310, Tower C: 310, Tower D: 303) [KB:UkphwtjVxtx8lvNFgzJd], [KB:5kmr7YYmS8Llw6Vfav0F]\n- **Total Floors**: 39 storeys [KB:UkphwtjVxtx8lvNFgzJd]\n- **Completion / Vacant Possession Date**: December 2027 [KB:UkphwtjVxtx8lvNFgzJd]\n\n---\n\n### Layouts &amp; Pricing\n*Note: Specific nett prices after individual rebates per layout are not on record; gross/indicative prices are provided below.* \n\n- **Type D**: 802 sqft | 2 Bedrooms, 2 Bathrooms | Car Parks: 1 | **Gross Price**: RM580,000 – RM611,000 | **Nett Price**: not on record | Status: Available\n- **Type C**: 902 sqft | 2+1 Bedrooms, 2 Bathrooms | Car Parks: 1 or 2 | **Gross Price**: RM624,000 – RM672,000 | **Nett Price**: not on record | Status: Available\n- **Type B**: 1,033 sqft | 3 Bedrooms, 2 Bathrooms | Car Parks: 2 | **Gross Price**: RM678,000 – RM710,000 | **Nett Price**: not on record | Status: Available\n- **Type A**: 1,199 sqft | 3 Bedrooms, 2 Bathrooms | Car Parks: 2 | **Gross Price**: RM785,000 – RM819,000 | **Nett Price**: not on record | Status: Available\n- **Type SU1 (Signature Unit)**: 1,558 sqft | 4 Bedrooms, 3 Bathrooms | Car Parks: 3 [KB:75hmCsRUSBAYVJaskt9A] | **Gross Price**: From RM1,030,000 | **Nett Price**: not on record | Status: Available\n- **Type SU2 (Signature Unit)**: 1,600 sqft | 3 Bedrooms, 3 Bathrooms | Car Parks: 3 [KB:75hmCsRUSBAYVJaskt9A] | **Gross Price**: RM1,057,800 [KB:ZAXsfB7h2E8DVJmYDKuh] | **Nett Price**: not on record | Status: Available\n- **Type SU4 (Signature Unit)**: 1,589 sqft | **Gross Price**: RM1,047,800 [KB:ZAXsfB7h2E8DVJmYDKuh] | **Nett Price**: not on record | Status: Available\n- **Type SU5 (Signature Unit)**: 2,400 sqft | **Gross Price**: RM1,563,800 [KB:ZAXsfB7h2E8DVJmYDKuh] | **Nett Price**: not on record | Status: Available\n- **Type SU6 (Signature Unit)**: 1,708 sqft | 4 Bedrooms, 3 Bathrooms | Car Parks: 3 | **Gross Price**: From RM1,100,000 (unit A-38-06: RM1,125,800 [KB:ZAXsfB7h2E8DVJmYDKuh]) | **Nett Price**: not on record | Status: Available\n- **Type SU7 (Signature Unit)**: 2,125 sqft | 4 Bedrooms, 3 Bathrooms | Car Parks: 3 | **Gross Price**: From RM1,300,000 (units A-39-3A &amp; A-39-10: RM1,391,800 [KB:ZAXsfB7h2E8DVJmYDKuh]) | **Nett Price**: not on record | Status: Available\n\n---\n\n### Furnishing &amp; Car Park Allocation\n- **Furnishing**: Partially furnished (kitchen cabinets, hood &amp; hob, digital lock, 2 air-conditioners in master bedroom &amp; living hall, air-cond point provided for second bedroom) [KB:ZAXsfB7h2E8DVJmYDKuh].\n- **Car Park Allocation**: 1 CP (Type D), 1–2 CPs (Type C), 2 CPs (Types A &amp; B), 3 CPs (Signature Units SU1, SU2, SU6, SU7) [KB:75hmCsRUSBAYVJaskt9A].\n\n---\n\n### Top Reasons to Buy [KB:ZAXsfB7h2E8DVJmYDKuh]\n1. **Low Density**: Only 197 units/acre across 6.31 acres of land.\n2. **Greenery Views**: Greenery views for most units despite close proximity to KL city centre.\n3. **Attractive Package &amp; Pricing**: Starting price from ~RM550+ psf, featuring a 10% rebate, 2% signing rebate, 5% Bumi discount, cashback (RM25k to RM42k), and FREE MOT for the first 300 units.\n4. **Proximity to Education**: Close proximity to primary, secondary, international schools, and university campuses within 3 to 5 km."
}</t>
        </is>
      </c>
    </row>
    <row r="31">
      <c r="A31" s="2" t="inlineStr">
        <is>
          <t>P24</t>
        </is>
      </c>
      <c r="B31" s="2" t="inlineStr">
        <is>
          <t>Tangen Residences</t>
        </is>
      </c>
      <c r="C31" s="2" t="n">
        <v>27</v>
      </c>
      <c r="D31" s="2" t="inlineStr">
        <is>
          <t>stop</t>
        </is>
      </c>
      <c r="E31" s="2" t="inlineStr">
        <is>
          <t>{
  "answer": "Here are the full details for **Tangen Residences** (Project ID: `QZL9WpMOxZ07JHxSl54P`):\n\n### Layout Summary\n* **Type A**: 1,582 sqft | 4 Bedrooms (4R3B) | Gross Price: Not on record | Nett Price: Not on record | Status: Available (Low floors up to Level 16 sold out; currently selling up to Level 38)\n* **Type B**: 1,281 sqft | 4 Bedrooms (4R3B) | Gross Price: Not on record | Nett Price: Not on record | Status: Available\n* **Type C**: 1,033 sqft | 3 Bedrooms (3R2B) | Gross Price: Not on record | Nett Price: Not on record | Status: Available\n* **Type D**: 1,550 sqft | 4 Bedrooms (4R3B) | Gross Price: Not on record | Nett Price: Not on record | Status: Available\n\n*(Overall project starting price on record is from **RM659,000** for entry units).* \n\n--- \n\n### Project Specifications\n* **Area**: Taman Sri Sinar, Segambut / North Kiara [KB:vOIoAUpp5lqbwiAfbgB4]\n* **Developer**: Angkasa Armada Sdn Bhd (Subsidiary of Eng Han Group) [KB:vOIoAUpp5lqbwiAfbgB4]\n* **Land Title**: Residential (Schedule H) [KB:vOIoAUpp5lqbwiAfbgB4]\n* **Tenure**: Freehold [KB:vOIoAUpp5lqbwiAfbgB4]\n* **Maintenance Fee**: RM0.33 psf (inclusive of sinking fund) [KB:vOIoAUpp5lqbwiAfbgB4]\n* **Total Units**: 413 units [KB:vOIoAUpp5lqbwiAfbgB4]\n* **Total Floors**: 49 storeys [KB:vOIoAUpp5lqbwiAfbgB4]\n* **Completion / Vacant Possession**: Q4 2027 (48 months from SPA) [KB:vOIoAUpp5lqbwiAfbgB4]\n* **Furnishing**: Bare unit [KB:vOIoAUpp5lqbwiAfbgB4]\n* **Car Park Allocation**: 2 to 3 side-by-side car park bays (located Level G to Level 6) [KB:MvQLnYFbLxcvZbkLrfus]\n\n--- \n\n### Top Reasons to Buy [KB:2SIUYrREBzc7IdDORmUR]\n1. **Prime North Kiara Location**: 3 minutes to Desa ParkCity and 10 minutes from Mont Kiara.\n2. **Family-Friendly Layouts**: All units offer 3 to 4 spacious bedrooms.\n3. **Proximity to Key Amenities**: High ground living close to SRJK(C) Kepong 3, Village Grocer, Plaza Arkadia, and ParkCity Medical Center (1.8km–2km away).\n4. **Comprehensive Lifestyle Facilities**: Includes a 50m infinity lap pool, indoor badminton courts, sky cinema, co-working space, and sauna/jacuzzi.\n5. **EV Ready**: Equipped with EV charging stations.\n6. **DUKE Highway Connectivity**: Located 900m from DUKE Highway access, providing smooth connectivity to PJ and KLCC CBD.",
  "clarifyingQuestion": null,
  "matches": [],
  "refusal": null
}</t>
        </is>
      </c>
    </row>
    <row r="32">
      <c r="A32" s="2" t="inlineStr">
        <is>
          <t>P25</t>
        </is>
      </c>
      <c r="B32" s="2" t="inlineStr">
        <is>
          <t>Miranda Hill @ north kiara by BRDB</t>
        </is>
      </c>
      <c r="C32" s="2" t="n">
        <v>26.1</v>
      </c>
      <c r="D32" s="2" t="inlineStr">
        <is>
          <t>stop</t>
        </is>
      </c>
      <c r="E32" s="2" t="inlineStr">
        <is>
          <t>```json
{
  "answer": "### Project Details: Miranda Hill @ north kiara by BRDB\n\n#### Layouts &amp; Pricing\n* **Type A (2+1 Bedrooms)**\n  * **Size:** 943 – 1,093 sq ft [KB:msaaQ1RuJJn2CSPEwDzB]\n  * **Bedrooms:** 2+1 [KB:msaaQ1RuJJn2CSPEwDzB]\n  * **Gross Price:** Average RM759 psf [KB:msaaQ1RuJJn2CSPEwDzB] (overall development prices start from RM730,250 [KB:qBLS57rdUpEr7wabsJ3G])\n  * **Nett Price:** Not on record\n* **Type B (3+1 Bedrooms)**\n  * **Size:** 1,292 – 1,595 sq ft [KB:msaaQ1RuJJn2CSPEwDzB]\n  * **Bedrooms:** 3+1 [KB:msaaQ1RuJJn2CSPEwDzB]\n  * **Gross Price:** Average RM732 psf [KB:msaaQ1RuJJn2CSPEwDzB]\n  * **Nett Price:** Not on record\n* **Type C (4+2 Bedrooms)**\n  * **Size:** 2,153 – 2,237 sq ft [KB:msaaQ1RuJJn2CSPEwDzB]\n  * **Bedrooms:** 4+2 [KB:msaaQ1RuJJn2CSPEwDzB]\n  * **Gross Price:** Average RM678 psf [KB:msaaQ1RuJJn2CSPEwDzB] (prices up to RM2,732,400 [KB:qBLS57rdUpEr7wabsJ3G])\n  * **Nett Price:** Not on record\n* **Penthouse (5+1 Bedrooms)**\n  * **Size:** 2,735 – 3,584 sq ft [KB:msaaQ1RuJJn2CSPEwDzB]\n  * **Bedrooms:** 5+1 [KB:msaaQ1RuJJn2CSPEwDzB]\n  * **Status:** **Sold Out**\n  * **Gross Price:** Sold Out (not on record)\n  * **Nett Price:** Sold Out (not on record)\n\n---\n\n#### Project Information\n* **Area:** North Kiara (Jalan Dutamas Melati / Segambut corridor, opposite French School of KL, 3 streets from Publika Mall) [KB:cdV2XwcdMEqhhhxthQRZ] [KB:msaaQ1RuJJn2CSPEwDzB]\n* **Developer:** Freedom Estates Sdn Bhd (part of BRDB Group) [KB:cdV2XwcdMEqhhhxthQRZ] [KB:msaaQ1RuJJn2CSPEwDzB]\n* **Land Title:** Residential [KB:cdV2XwcdMEqhhhxthQRZ] [KB:msaaQ1RuJJn2CSPEwDzB]\n* **Tenure:** Freehold [KB:cdV2XwcdMEqhhhxthQRZ] [KB:msaaQ1RuJJn2CSPEwDzB]\n* **Maintenance Fee:** RM0.28 psf (inclusive of sinking fund) [KB:msaaQ1RuJJn2CSPEwDzB]\n* **Total Units:** 552 units (Tower 1: 277 units; Tower 2: 275 units) [KB:cdV2XwcdMEqhhhxthQRZ] [KB:qBLS57rdUpEr7wabsJ3G]\n* **Total Floors:** Tower 1: 37 storeys; Tower 2: 35 storeys [KB:msaaQ1RuJJn2CSPEwDzB]\n* **Completion / VP Date:** End of 2027 / September 2027 [KB:cdV2XwcdMEqhhhxthQRZ] [KB:qBLS57rdUpEr7wabsJ3G]\n* **Top Reasons to Buy:**\n  1. **Prestige Developer:** Built by BRDB Group (developer of BSC Mall &amp; One Menerung) [KB:cdV2XwcdMEqhhhxthQRZ].\n  2. **Low-Density Hilltop Setting:** Only 552 units on a 7.84-acre site, with 4.43 acres dedicated exclusively to landscaping and native greenery [KB:cdV2XwcdMEqhhhxthQRZ] [KB:b7hG7NslGiJvB9EsTjps].\n  3. **Prime Mont Kiara/Dutamas Location:** Walking distance to French School of Kuala Lumpur and minutes to Publika Mall &amp; Solaris Mont'Kiara [KB:b7hG7NslGiJvB9EsTjps].\n  4. **Resort Facilities:** Features a 230m (750ft) swimming pool — the longest in Mont Kiara — alongside dual guardhouses and tennis courts.\n* **Furnishing:** Partly Furnished (includes full air-conditioning, full dry kitchen, full wet kitchen for Type C &amp; D with island, full bathroom fittings with hot water system &amp; quartz vanity top in master, laminated timber flooring, tinted laminated windows, master bedroom wardrobe, digital lock, and kitchen appliances: hood, hob, fridge, oven, washer &amp; dryer).\n* **Car Park Allocation:**\n  * Type A &amp; Type B (intermediate): 2 car park bays [KB:msaaQ1RuJJn2CSPEwDzB]\n  * Type B &amp; Type C: 3 car park bays [KB:msaaQ1RuJJn2CSPEwDzB]\n  * Penthouse: 4 car park bays [KB:msaaQ1RuJJn2CSPEwDzB]"
}
```</t>
        </is>
      </c>
    </row>
    <row r="33">
      <c r="A33" s="2" t="inlineStr">
        <is>
          <t>P26</t>
        </is>
      </c>
      <c r="B33" s="2" t="inlineStr">
        <is>
          <t>Alstonia Hilltop Homes</t>
        </is>
      </c>
      <c r="C33" s="2" t="n">
        <v>34.9</v>
      </c>
      <c r="D33" s="2" t="inlineStr">
        <is>
          <t>stop</t>
        </is>
      </c>
      <c r="E33" s="2" t="inlineStr">
        <is>
          <t>{
  "answer": "**Project ID:** ZAtRBLvFIfa04tuOnDcr\n\n### Project Overview: Alstonia Hilltop Homes\n\n- **Area:** Bukit Rahman Putra (BRP), Sungai Buloh, Selangor [KB:DkEf8TbYIS4s9ZC6CSDO]\n- **Developer:** MRCB (Pinnacle Paradise Sdn Bhd, a subsidiary of MRCB Land) [KB:DkEf8TbYIS4s9ZC6CSDO] [KB:rQ8JQ7OQlQS5yULaUlj1]\n- **Land Title:** Residential, Strata Title [KB:DkEf8TbYIS4s9ZC6CSDO]\n- **Tenure:** Freehold [KB:DkEf8TbYIS4s9ZC6CSDO]\n- **Maintenance Fee:** RM0.35 psf (inclusive of sinking fund)\n- **Total Units:** 245 units (214 Condominium units, 31 Villa units) [KB:DkEf8TbYIS4s9ZC6CSDO]\n- **Total Floors:** 24-storey (Garden Heights Condominium), 3-storey (Garden Villa) [KB:DkEf8TbYIS4s9ZC6CSDO]\n- **Completion / Vacant Possession Date:** Q1 2024 [KB:DkEf8TbYIS4s9ZC6CSDO] (Advertising Permit states expected completion May 2023 [KB:oFIvWiEgTywI0exB92Kw])\n- **Top Reasons to Buy:** Not on record\n- **Furnishing:** Not on record\n\n### Car Park Allocation [KB:oFIvWiEgTywI0exB92Kw]\n- **Type A1 &amp; A2 (Condo):** 2 car parks\n- **Type B1 &amp; B2 (Condo):** 2 car parks\n- **Type C1 (Condo):** 3 car parks\n- **Garden Villas:** Car porch / driveway allocation per unit layout\n\n### Layout &amp; Pricing Details\n*Note: No structured per-layout unit table (`unitTypes`) is on record in D2 system. Individual per-layout nett price, gross price, and specific unit sold-out status are not on record.*\n\n**Garden Heights (Condominium - 214 units):**\n- **Type A1:** 1,001 sqft | 2 car parks [KB:oFIvWiEgTywI0exB92Kw]\n- **Type A2:** 1,022 sqft | 2 car parks [KB:oFIvWiEgTywI0exB92Kw]\n- **Type B1:** 1,216 sqft | 3 Bedrooms + 1 | 2 car parks [KB:oFIvWiEgTywI0exB92Kw] [KB:FDMnWJDd87f7mg20JjdT]\n- **Type B2:** 1,227 sqft | 2 car parks [KB:oFIvWiEgTywI0exB92Kw]\n- **Type C1:** 1,431 sqft | 3 car parks [KB:oFIvWiEgTywI0exB92Kw]\n- **Selling Price Range:** Min RM676,800 – Max RM1,238,640 [KB:oFIvWiEgTywI0exB92Kw]\n- **Individual Gross/Nett Price per layout &amp; Sold Out Status:** Not on record\n\n**Garden Villas (31 units):**\n- **Intermediate Unit:** 3,500 – 3,516 sqft [KB:rQ8JQ7OQlQS5yULaUlj1] [KB:oFIvWiEgTywI0exB92Kw]\n- **Corner Unit:** 3,600 – 3,640 sqft | 4 Bedrooms + 2 [KB:FDMnWJDd87f7mg20JjdT]\n- **Selling Price Range:** Min RM1,761,800 – Max RM3,020,940 [KB:oFIvWiEgTywI0exB92Kw]\n- **Individual Gross/Nett Price per layout &amp; Sold Out Status:** Not on record\n\nFor details not on record (such as top reasons to buy, furnishing packages, or exact layout unit-by-unit nett/gross pricing), please contact D2 sales admin directly."
}</t>
        </is>
      </c>
    </row>
    <row r="34">
      <c r="A34" s="2" t="inlineStr">
        <is>
          <t>P27</t>
        </is>
      </c>
      <c r="B34" s="2" t="inlineStr">
        <is>
          <t>Binastra Cochrane</t>
        </is>
      </c>
      <c r="C34" s="2" t="n">
        <v>17.5</v>
      </c>
      <c r="D34" s="2" t="inlineStr">
        <is>
          <t>stop</t>
        </is>
      </c>
      <c r="E34" s="2" t="inlineStr">
        <is>
          <t>{
  "answer": "Here are the details on record for **Binastra Cochrane** (Project ID: `lYok7RdyP2P2PUZCIpX2`):\n\n### Project Summary\n- **Area:** Jalan Cochrane in Cheras, Kuala Lumpur [KB:jAWKVqiwpHOCmuiSRjDt]\n- **Developer:** Binastra Synergy Sdn Bhd [KB:jAWKVqiwpHOCmuiSRjDt]\n- **Tenure:** Freehold [KB:jAWKVqiwpHOCmuiSRjDt]\n- **Total Units:** 830 units [KB:jAWKVqiwpHOCmuiSRjDt]\n\n### Layouts &amp; Pricing\n- **Layout Details (size, bedrooms, nett/gross prices):** Not on record.\n\n### Specifications\n- **Land Title:** Not on record\n- **Maintenance Fee:** Not on record\n- **Total Floors:** Not on record\n- **Completion / VP Date:** Not on record\n- **Furnishing:** Not on record\n- **Car Park Allocation:** Not on record\n- **Top Reasons to Buy:** Not on record\n\nFor any details marked as not on record, please check directly with D2 sales admin."
}</t>
        </is>
      </c>
    </row>
    <row r="35">
      <c r="A35" s="2" t="inlineStr">
        <is>
          <t>P28</t>
        </is>
      </c>
      <c r="B35" s="2" t="inlineStr">
        <is>
          <t>Eden BRDB, Taman Duta</t>
        </is>
      </c>
      <c r="C35" s="2" t="n">
        <v>50</v>
      </c>
      <c r="D35" s="2" t="inlineStr">
        <is>
          <t>stop</t>
        </is>
      </c>
      <c r="E35" s="2" t="inlineStr">
        <is>
          <t>{
  "answer": "### Eden BRDB, Taman Duta — Project Details\n\n#### Layout Breakdown [KB:vmd19x6k5FZixozu2L5j]\n* **Type A2**: 5,307 sqft | 4+2 Bedrooms (5 Bathrooms + 1 Powder) | **Nett Price:** RM8.5Mil – RM11.8Mil | **Gross Price:** From RM1,700 psf\n* **Type C**: 6,491 sqft | 4+2 Bedrooms (6 Bathrooms + 1 Powder) | **Nett Price:** RM10Mil – RM14.6Mil | **Gross Price:** From RM1,700 psf\n* **Type A3a**: 9,192 sqft | 4+2 Bedrooms (6 Bathrooms + 1 Powder) | **Nett Price:** RM14.8Mil – RM15.8Mil | **Gross Price:** From RM1,700 psf\n* **Type C1**: 11,141 sqft | 4+2 Bedrooms (7 Bathrooms + 1 Powder) | **Sold Out** (Nett &amp; Gross: Sold Out)\n* **Type D1**: 19,031 sqft | 5+2 Bedrooms (8 Bathrooms + 1 Powder) | **Nett Price:** RM30.9Mil | **Gross Price:** RM1,625 psf\n\n#### Project Key Facts\n* **Area:** Taman Duta [KB:9tab2Vy32EQUQzxB3GGt]\n* **Developer:** BRDB [KB:9tab2Vy32EQUQzxB3GGt]\n* **Land Title:** Not on record\n* **Tenure:** Freehold [KB:9tab2Vy32EQUQzxB3GGt]\n* **Maintenance Fee:** RM0.70 psf (inclusive of sinking fund) [KB:9tab2Vy32EQUQzxB3GGt]\n* **Total Units:** 146 units (including 22 duplex penthouses) [KB:9tab2Vy32EQUQzxB3GGt]\n* **Total Floors:** 3 to 8 storeys (across 8 low-rise blocks) [KB:9tab2Vy32EQUQzxB3GGt] [KB:K3e02HyBT5r99ey4HeqS]\n* **Completion / Vacant Possession Date:** Mid 2029 [KB:9tab2Vy32EQUQzxB3GGt]\n* **Car Park Allocation:** 4 to 11 car parks per unit (equipped with EV infrastructure) [KB:P4mqGmKzCGMBancpcGQL]\n\n#### Furnishing &amp; Specifications\n* **Furnishing:** Partially furnished with luxury interior fittings including Poggenpohl dry kitchen &amp; cabinetry, Gaggenau kitchen appliances, Molteni &amp; C wardrobes in sleeping rooms, VRF air-conditioning, Hansgrohe fittings, Villeroy &amp; Boch sanitary ware, Bosch wet kitchen appliances, Armani marble flooring, and Red wood flooring in bedrooms [KB:W2nEiNDwsndwiq6PYGmH].\n\n#### Top Reasons to Buy\n1. **Landed Living Experience:** Offers the expansive space and privacy of a landed home without maintenance hassles [KB:K3e02HyBT5r99ey4HeqS].\n2. **Ultra Low Density &amp; Nature Sanctuary:** 146 units across 12.25 acres with 30% dedicated greenery in a quiet, prime location [KB:K3e02HyBT5r99ey4HeqS].\n3. **Luxury &amp; Sustainability:** GreenRE Gold certified development with premium international luxury brands and full EV infrastructure [KB:P4mqGmKzCGMBancpcGQL]."
}</t>
        </is>
      </c>
    </row>
    <row r="36">
      <c r="A36" s="2" t="inlineStr">
        <is>
          <t>P29</t>
        </is>
      </c>
      <c r="B36" s="2" t="inlineStr">
        <is>
          <t>Majestic @ Kiara Reserve</t>
        </is>
      </c>
      <c r="C36" s="2" t="n">
        <v>41.1</v>
      </c>
      <c r="D36" s="2" t="inlineStr">
        <is>
          <t>stop</t>
        </is>
      </c>
      <c r="E36" s="2" t="inlineStr">
        <is>
          <t>{
  "answer": "### Majestic @ Kiara Reserve (Project ID: ua17QmBD8hAzIEEiSzlk)\n\n#### Project Overview\n- **Area / Location:** Mont Kiara / Damansara Heights, KL North (Next to SMK Sri Hartamas, adjacent to 400-acre Kiara Reserve Forest) [KB:6ew3PWzA0DfpA4bCZEix]\n- **Developer:** Excellent Bonanza Sdn Bhd (under GSH Corporation, SGX-listed) [KB:ulZttJH8RBdnrnkSfeCc]\n- **Land Title:** Residential [KB:ulZttJH8RBdnrnkSfeCc]\n- **Tenure:** Freehold [KB:ulZttJH8RBdnrnkSfeCc]\n- **Maintenance Fee:** RM0.55 psf [KB:ulZttJH8RBdnrnkSfeCc]\n- **Total Units:** 237 units total (79 Villas + 57 Parkhomes + 93 High-Rise Condo units) [KB:2m9DMel1OWJ5dzRDlfDp, KB:6ew3PWzA0DfpA4bCZEix]\n- **Total Floors:** 11 storeys (High-Rise phase) [KB:6ew3PWzA0DfpA4bCZEix]\n- **Expected Completion / VP:** Q4 2029 [KB:ulZttJH8RBdnrnkSfeCc]\n\n#### Layout Details &amp; Pricing\n- **Parkhomes (Phase 1)**\n  - **Size:** 1,600 sqft (+ 700 sqft car park area)\n  - **Bedrooms:** Not on record\n  - **Gross Price:** From RM1,560,000 to RM1,700,000+ [KB:6ew3PWzA0DfpA4bCZEix]\n  - **Nett Price:** Not on record\n  - **Status:** Active (not sold out)\n\n- **Villa A (Phase 1)**\n  - **Size:** 3,703 sqft\n  - **Bedrooms:** 5+1 rooms (5+1 bathrooms) [KB:6ew3PWzA0DfpA4bCZEix]\n  - **Gross Price:** From RM4,000,000 [KB:6ew3PWzA0DfpA4bCZEix]\n  - **Nett Price:** Not on record\n  - **Status:** Active (not sold out)\n\n- **Villa B (Phase 1)**\n  - **Size:** 2,800 sqft\n  - **Bedrooms:** 3+1 rooms (4+1 bathrooms) [KB:6ew3PWzA0DfpA4bCZEix]\n  - **Gross Price:** From RM3,000,000 [KB:6ew3PWzA0DfpA4bCZEix]\n  - **Nett Price:** Not on record\n  - **Status:** Active (not sold out)\n\n- **Type B-2 / B-3 Villa (Phase 2)**\n  - **Size:** 2,960 sqft\n  - **Bedrooms:** 3+1 rooms (3+2 bathrooms)\n  - **Gross Price (SPA):** RM3,291,800\n  - **Nett Price:** RM2,903,367.60 (after 10% + 2% rebate)\n  - **Status:** Active (not sold out)\n\n- **Type B-3A Villa (Phase 2)**\n  - **Size:** 3,153 sqft\n  - **Bedrooms:** 3+1 rooms (3+2 bathrooms)\n  - **Gross Price (SPA):** RM3,483,800\n  - **Nett Price:** RM3,072,711.60 (after 10% + 2% rebate)\n  - **Status:** Active (not sold out)\n\n- **High-Rise / Condo Units (Phase 2)**\n  - **Size:** 1,270 to 1,496 sqft (Units 1 &amp; 7: 1,410 &amp; 1,464 sqft; Units 2, 3, 5, 6: 1,496 sqft; Unit 3A: 1,453 sqft; Units 8 &amp; 9: 1,270 &amp; 1,292 sqft)\n  - **Bedrooms:** 3+1 rooms [KB:2m9DMel1OWJ5dzRDlfDp]\n  - **Gross Price:** From RM1,200,000 (from ~RM900 psf) [KB:2m9DMel1OWJ5dzRDlfDp]\n  - **Nett Price:** Not on record\n  - **Status:** Active (not sold out)\n\n#### Furnishing\n- **Parkhomes:** Partially furnished with dry kitchen cabinets, Electrolux microwave &amp; oven, 5 air-conditioners, plaster ceiling, water heaters, Villeroy &amp; Boch sanitary fittings, digital lockset, and EV charging point [KB:6ew3PWzA0DfpA4bCZEix].\n- **Villas:** Partially furnished with private lift, solar panels, rainwater harvesting system, plaster ceiling, air-conditioners, water heaters, Villeroy &amp; Boch sanitary fittings, digital lockset, and EV charging point [KB:6ew3PWzA0DfpA4bCZEix].\n- **High-Rise / Condo Units:** Partially furnished with Villeroy &amp; Boch sanitary fittings, air-conditioners, digital lockset, and water heater [KB:6ew3PWzA0DfpA4bCZEix].\n\n#### Car Park Allocation\n- **High-Rise / Condo Units:** 2 car parks per unit [KB:ECLVRI1FG8v1YMn1VSai]\n- **Villas:** 4 car parks [KB:2m9DMel1OWJ5dzRDlfDp]\n- **Parkhomes:** Dedicated 700 sqft car park area [KB:6ew3PWzA0DfpA4bCZEix]\n\n#### Top Reasons to Buy [KB:2m9DMel1OWJ5dzRDlfDp]\n1. **Freehold Land:** 4.8 acres of prime freehold residential tenure.\n2. **Very Low Density:** Only 237 total units across villas, parkhomes, and high-rise.\n3. **Adjacent to Nature:** Direct access to the 400-acre Bukit Kiara Forest Reserve for hiking, biking, and fresh air.\n4. **Strategic Access:** Situated between Mont Kiara and Damansara Heights; easy accessibility avoiding internal Mont Kiara traffic.\n5. **Competitive Entry Price:** From RM900 psf / RM1.2M, providing good value relative to surrounding developments at RM1,100+ psf.\n6. **Walkability:** 300m walk to Desa Sri Hartamas commercial hub (cafes, dining, banks, amenities)."
}</t>
        </is>
      </c>
    </row>
    <row r="37">
      <c r="A37" s="2" t="inlineStr">
        <is>
          <t>P30</t>
        </is>
      </c>
      <c r="B37" s="2" t="inlineStr">
        <is>
          <t>St. Regis Residences Kuala Lumpur</t>
        </is>
      </c>
      <c r="C37" s="2" t="n">
        <v>22.7</v>
      </c>
      <c r="D37" s="2" t="inlineStr">
        <is>
          <t>stop</t>
        </is>
      </c>
      <c r="E37" s="2" t="inlineStr">
        <is>
          <t>{
  "answer": "### St. Regis Residences Kuala Lumpur — Project Details\n\n#### Layouts &amp; Pricing\n- **Studio**:\n  - Size: 820 sqft\n  - Bedrooms: 0 (Studio)\n  - Gross Price: From RM2,280,000\n  - Nett Price: Not on record\n- **1 Bedroom**:\n  - Size: 1,648 sqft\n  - Bedrooms: 1\n  - Gross Price: From RM4,470,000\n  - Nett Price: Not on record\n- **2 Bedrooms**:\n  - Size: 2,408 sqft\n  - Bedrooms: 2\n  - Gross Price: From RM6,330,000\n  - Nett Price: Not on record\n- **3 Bedrooms**:\n  - Size: 4,253 sqft\n  - Bedrooms: 3\n  - Gross Price: From RM10,970,000\n  - Nett Price: Not on record\n\n*(Note: Developer sales group updates indicate units were reported as fully sold [KB:Lzgzym1grZW29ATvcMjj]).*\n\n#### Project Specifications\n- **Area**: KL Sentral, Kuala Lumpur\n- **Developer**: Excellent Bonanza Sdn Bhd (under GSH Corporation) / UOA Development Bhd [KB:uuV6C249TylzjKr25it3]\n- **Land Title**: Not on record\n- **Maintenance Fee**: Not on record\n- **Tenure**: Freehold [KB:uuV6C249TylzjKr25it3]\n- **Total Units**: Not on record\n- **Total Floors**: 48 storeys [KB:uuV6C249TylzjKr25it3]\n- **Completion / VP Date**: Completed [KB:uuV6C249TylzjKr25it3]\n- **Top Reasons to Buy**: Not on record\n- **Furnishing**: Fully fitted with Miele, Bulthaup &amp; Lema designer appliances &amp; furniture, branded hotel-style finishing, built-in wardrobes &amp; bathrooms\n- **Car Park Allocation**: 1–2 car parks per unit (varies by size)"
}</t>
        </is>
      </c>
    </row>
    <row r="38">
      <c r="A38" s="2" t="inlineStr">
        <is>
          <t>P31</t>
        </is>
      </c>
      <c r="B38" s="2" t="inlineStr">
        <is>
          <t>Aster Hill Sri Petaling</t>
        </is>
      </c>
      <c r="C38" s="2" t="n">
        <v>28.6</v>
      </c>
      <c r="D38" s="2" t="inlineStr">
        <is>
          <t>stop</t>
        </is>
      </c>
      <c r="E38" s="2" t="inlineStr">
        <is>
          <t>```json
{
  "answer": "Here are the project details for **Aster Hill Sri Petaling** (Project ID: `5GQD7WaNNz6Dlzb13Ho1`):\n\n### Layout Details\nAll layouts feature 3 Bedrooms and 2 Bathrooms [KB:3ftGruUWUzeOeON8fh6p]:\n- **Type A1**: 852 sqft | Bedrooms: 3 | Starting price: from RM518,000 [KB:3DLYaks48vcHGHtTZwpb] | Nett price &amp; Gross price per layout: not on record | Availability: Active / Available\n- **Type B1**: 1,043 sqft | Bedrooms: 3 | Nett price &amp; Gross price: not on record | Availability: Active / Available\n- **Type C**: 1,077 sqft | Bedrooms: 3 | Nett price &amp; Gross price: not on record | Availability: Active / Available\n\n*(Note: Specific unit-by-unit gross vs. nett pricing breakdowns are not on record; please consult D2 sales admin for current unit price lists.)*\n\n---\n\n### Project Overview\n- **Area**: Sri Petaling [KB:7uYKpnrIGweZkPuj8Lcx]\n- **Developer**: SCP (per D2 project fact sheet) [KB:7uYKpnrIGweZkPuj8Lcx] / UOA Development Bhd (per sales kit) [KB:3DLYaks48vcHGHtTZwpb]\n- **Land Title**: Commercial under HDA [KB:7uYKpnrIGweZkPuj8Lcx]\n- **Tenure**: Freehold [KB:7uYKpnrIGweZkPuj8Lcx]\n- **Maintenance Fee**: RM0.30 psf (inclusive of sinking fund) [KB:7uYKpnrIGweZkPuj8Lcx]\n- **Total Units**: 1,150 units [KB:7uYKpnrIGweZkPuj8Lcx]\n- **Total Floors / Storeys**: 32 levels per block (Block A &amp; Block B) [KB:3DLYaks48vcHGHtTZwpb]\n- **Expected Completion / VP**: Q3 2027 [KB:7uYKpnrIGweZkPuj8Lcx]\n- **Car Park Allocation**: 2 car parks per unit [KB:3ftGruUWUzeOeON8fh6p]\n\n---\n\n### Furnishing Package [KB:3ftGruUWUzeOeON8fh6p]\n- Air conditioners in all bedrooms and living hall\n- Storage water heater (1 unit for Type A shared between bathrooms; 2 units for Type B &amp; C)\n- Shower screens &amp; sanitary fittings\n- Kitchen cabinet with 2-burner hood &amp; hob\n- 2-door refrigerator\n- 2-in-1 washer &amp; dryer\n- Digital door lock for main entry\n\n---\n\n### Top Reasons to Buy [KB:3DLYaks48vcHGHtTZwpb]\n1. **Location**: Opposite SJK(C) La Salle (450m away).\n2. **Developer**: Developed by an established, listed developer.\n3. **Land &amp; Density**: Freehold 4.72-acre site.\n4. **Orientation**: Set back from main highway with open landed views.\n5. **Low Supply**: High demand area with limited new residential launches in Sri Petaling.\n6. **Entry Price**: Accessible price point starting from RM518k for 3 bedrooms.\n7. **Connectivity**: Strategic central location with direct access to MEX, KESAS, SMART, and KL-Seremban highways."
}
```</t>
        </is>
      </c>
    </row>
    <row r="39">
      <c r="A39" s="2" t="inlineStr">
        <is>
          <t>P32</t>
        </is>
      </c>
      <c r="B39" s="2" t="inlineStr">
        <is>
          <t>Exsim Project</t>
        </is>
      </c>
      <c r="C39" s="2" t="n">
        <v>24.8</v>
      </c>
      <c r="D39" s="2" t="inlineStr">
        <is>
          <t>stop</t>
        </is>
      </c>
      <c r="E39" s="2" t="inlineStr">
        <is>
          <t>{
  "answer": "Here are the details on record for **Exsim Project** (Project ID: `gmyjno668zbpf7wEoefH`):\n\n* **Layout Details (Size, Bedrooms, Nett Price, Gross Price, Availability):** Not on record. (There is no layout breakdown or per-unit pricing table on record for this project entry.)\n* **Area:** Multiple locations, including Old Klang Road (D'Ivo Residences), Bukit Jalil, Damansara Empire, KL City Centre, KL Metropolis, Bukit Ceylon, Ipoh, and Penang [KB:Xo1oOSQ6mlEcaVszHou3].\n* **Developer:** Konsortium Exsim Development Sdn Bhd (a member of EXSIM Group) [KB:Xo1oOSQ6mlEcaVszHou3, KB:tI4eXJccKUxO6eQQKzRG].\n* **Land Title:** Commercial (HDA) [KB:Xo1oOSQ6mlEcaVszHou3].\n* **Maintenance Fee:** RM0.38 psf including sinking fund (on record for D'Ivo Residences @ Old Klang Road) [KB:Xo1oOSQ6mlEcaVszHou3].\n* **Tenure:** Leasehold (on record for D'Ivo Residences) [KB:Xo1oOSQ6mlEcaVszHou3].\n* **Total Units:** Not on record.\n* **Total Floors:** 39 storeys across 2 Towers (on record for D'Ivo Residences) [KB:Xo1oOSQ6mlEcaVszHou3].\n* **Completion / Vacant Possession Date:** Expected 48 months after APDL obtained (on record for D'Ivo Residences) [KB:Xo1oOSQ6mlEcaVszHou3].\n* **Top Reasons to Buy:** Not on record.\n* **Furnishing:** Not on record.\n* **Car Park Allocation:** Not on record.\n\nFor unrecorded items such as layout-specific pricing, unit counts, furnishing specs, or car park allocations, please contact D2 sales admin directly."
}</t>
        </is>
      </c>
    </row>
    <row r="40">
      <c r="A40" s="2" t="inlineStr">
        <is>
          <t>P33</t>
        </is>
      </c>
      <c r="B40" s="2" t="inlineStr">
        <is>
          <t>Kensho @ Taman Desa</t>
        </is>
      </c>
      <c r="C40" s="2" t="n">
        <v>25.7</v>
      </c>
      <c r="D40" s="2" t="inlineStr">
        <is>
          <t>stop</t>
        </is>
      </c>
      <c r="E40" s="2" t="inlineStr">
        <is>
          <t>```json
{
  "answer": "Here are the details for **Kensho @ Taman Desa** (Project ID: `GnoAYH9KP5JL2e9hwaxl`):\n\n### **Project Overview**\n- **Area:** Taman Desa, KL South [KB:kSTSW13s2tkD7aTAaCaU]\n- **Developer:** Regal Path Sdn Bhd (a subsidiary of Malton Berhad) / Axis Milestone Sdn Bhd (formerly SCP Kensho Sdn Bhd) [KB:kSTSW13s2tkD7aTAaCaU] [KB:PEtw6b5ZXtFRBJAG2UaX]\n- **Land Title:** Commercial under HDA [KB:kSTSW13s2tkD7aTAaCaU]\n- **Tenure:** Leasehold (81-year lease expiring 31/08/2083) [KB:kSTSW13s2tkD7aTAaCaU] [KB:PEtw6b5ZXtFRBJAG2UaX]\n- **Maintenance Fee:** RM0.44 psf (inclusive of sinking fund) [KB:kSTSW13s2tkD7aTAaCaU]\n- **Total Units:** 310 units\n- **Total Floors:** 40 floors (facilities on Level 8 &amp; Level 40 rooftop) [KB:qeh8NMavOhaazNXeq3yS]\n- **Completion / Vacant Possession:** Q4 2026 / December 2026 [KB:kSTSW13s2tkD7aTAaCaU] [KB:PEtw6b5ZXtFRBJAG2UaX]\n- **Car Park Allocation:** 1 to 2 parking bays per unit (LG to 7th floor)\n- **Furnishing:** Partially furnished with digital lockset, kitchen cabinets, hood, hob, oven, fridge, smart switches, smart plugs, smart airconds, washer-cum-dryer, motorised curtain points, and built-in water heaters [KB:fekFw5wEvtuz2t9ftWCT]\n\n---\n\n### **Layout Details &amp; Availability**\n\n| Layout | Size (sqft) | Bedrooms | Nett Price | Gross Price | Status |\n|---|---|---|---|---|---|\n| **Type B** | 707 | 2 | From RM563,160 | *Not on record* | **Sold Out** [KB:HeooFff1gHRhGuFdaGZY] |\n| **Type C** | 811 | 3 | From RM624,800 | *Not on record* | **Sold Out** [KB:HeooFff1gHRhGuFdaGZY] |\n| **Type D1** | 1,023 | 3+1 | From RM808,800 | RM893,000 (Sample SPA price for unit KR/15/06) [KB:HeooFff1gHRhGuFdaGZY] | **Available** [KB:fekFw5wEvtuz2t9ftWCT] |\n| **Type D2** | 1,034 | 3+1 | From RM818,000 | *Not on record* | **Available** |\n\n*Note: Gross/SPA list prices across all layout types are not on record except where specifically cited from transaction unit records [KB:HeooFff1gHRhGuFdaGZY].*\n\n---\n\n### **Top Reasons to Buy**\n1. **Rare 3+1 Bedroom Layouts in Taman Desa:** Generous 3+1 bedroom configurations (1,023–1,034 sqft) that are rare in the local market [KB:fekFw5wEvtuz2t9ftWCT].\n2. **Low Density Living:** Exclusive community with only 310 total units and 3 lifts per floor.\n3. **Modern Japanese Zen Concept:** Unique sky amenities including an Onsen Hot Bath, Hydrotherapy Spa Bed, Tea Pavilion, and Rooftop Sunrise Yoga Deck on Level 40 [KB:qeh8NMavOhaazNXeq3yS].\n4. **Comprehensive Smart Home &amp; Quality Fittings:** Comes equipped with integrated smart switches, smart airconds, digital lockset, and full kitchen/laundry appliances [KB:fekFw5wEvtuz2t9ftWCT]."
}
```</t>
        </is>
      </c>
    </row>
    <row r="41">
      <c r="A41" s="2" t="inlineStr">
        <is>
          <t>P34</t>
        </is>
      </c>
      <c r="B41" s="2" t="inlineStr">
        <is>
          <t>Aetas Taman Desa</t>
        </is>
      </c>
      <c r="C41" s="2" t="n">
        <v>23.6</v>
      </c>
      <c r="D41" s="2" t="inlineStr">
        <is>
          <t>stop</t>
        </is>
      </c>
      <c r="E41" s="2" t="inlineStr">
        <is>
          <t>```json
{
  "answer": "Here are the details for **Aetas Taman Desa** based on D2's project records and knowledge base:\n\n### Layout &amp; Pricing Information\n- **Per-Layout Table (`unitTypes`):** Not on record in the structured inventory.\n- **Layout Sizes (from sales materials):**\n  - **Type A:** 3,800 sq ft [KB:xhDFxqpjnDdp7rat456y]\n  - **Type B:** 3,400 sq ft [KB:xhDFxqpjnDdp7rat456y]\n  - **Type C:** 2,900 sq ft [KB:xhDFxqpjnDdp7rat456y]\n  - **Type D:** 2,400 sq ft [KB:xhDFxqpjnDdp7rat456y]\n  - **Penthouse:** 7,000 sq ft (2 units) [KB:2CX9SiQAztP1XfWScPhr]\n- **Bedrooms per Layout:** Not on record.\n- **Gross &amp; Nett Prices per Layout:** Not on record (official launch pricing/unit price table not released on record).\n- **Sold Out Status:** Not on record.\n\n---\n\n### Project Specifications\n- **Area:** Taman Desa [KB:s3RdfXq6cuaTs3ImYJS3]\n- **Developer:** Berjaya Hartanah Berhad [KB:s3RdfXq6cuaTs3ImYJS3]\n- **Land Title:** Not on record\n- **Tenure:** Freehold [KB:s3RdfXq6cuaTs3ImYJS3]\n- **Maintenance Fee:** RM0.55 psf (inclusive of sinking fund) [KB:s3RdfXq6cuaTs3ImYJS3]\n- **Total Units:** 217 units (across 2 towers) [KB:s3RdfXq6cuaTs3ImYJS3]\n- **Total Floors / Storeys:** 31 Storeys [KB:s3RdfXq6cuaTs3ImYJS3]\n- **Completion / Vacant Possession Date:** Expected Completion Q1 2031 (54 months from SPA) [KB:s3RdfXq6cuaTs3ImYJS3]\n\n---\n\n### Furnishing &amp; Car Park Allocation\n- **Furnishing / Fittings:** Ducted air-conditioning for living, dining &amp; master bedroom; split AC for other bedrooms; built-in storage water heaters for all bathrooms except maid's bath; smart-home ready [KB:2CX9SiQAztP1XfWScPhr].\n- **Car Park Allocation:**\n  - **Type A:** 4–5 car park bays\n  - **Type B &amp; C:** 4 car park bays\n  - **Type D:** 3 car park bays\n\n---\n\n### Key Selling Points / Top Reasons to Buy\n1. **Ultra-Low Density:** Only 55 units per acre across 3.93 acres of freehold land [KB:2CX9SiQAztP1XfWScPhr, KB:1n8FA11ax6v5IwR6pxgG].\n2. **High Privacy &amp; Semi-D/Bungalow Layouts:** All units are corner units; 4 units per floor served by private lift lobbies with natural ventilation [KB:2CX9SiQAztP1XfWScPhr].\n3. **Dual Entrances &amp; Double Security:** Main entrance via Jalan Morib and secondary entrance via Jalan Teluk Gadung [KB:1n8FA11ax6v5IwR6pxgG].\n4. **Strategic Central Connectivity:** Located within a 10–20 minute radius of Mid Valley, Bangsar, KL Sentral, and Petaling Jaya [KB:7hjiZZ4Z0TkL8X2J6qHa].\n5. **Green &amp; Fengshui Endorsed:** GreenRE Platinum rated and Fengshui endorsed by Dato' Joey Yap [KB:2CX9SiQAztP1XfWScPhr, KB:xhDFxqpjnDdp7rat456y]."
}
```</t>
        </is>
      </c>
    </row>
    <row r="42">
      <c r="A42" s="2" t="inlineStr">
        <is>
          <t>P35</t>
        </is>
      </c>
      <c r="B42" s="2" t="inlineStr">
        <is>
          <t>Southpoint Residences (IGB )</t>
        </is>
      </c>
      <c r="C42" s="2" t="n">
        <v>28.5</v>
      </c>
      <c r="D42" s="2" t="inlineStr">
        <is>
          <t>stop</t>
        </is>
      </c>
      <c r="E42" s="2" t="inlineStr">
        <is>
          <t>```json
{
  "answer": "### **Southpoint Residences (IGB ) — Project Details**\n\n**Key Project Facts:**\n- **Area:** Menara Southpoint, Mid Valley City, Kuala Lumpur [KB:y18Gd4UFTe1XPdrCupEZ]\n- **Developer:** MVCSP Sdn Bhd (a subsidiary of IGB Group) [KB:y18Gd4UFTe1XPdrCupEZ]\n- **Land Title:** Commercial Title (Serviced Apartment) [KB:y18Gd4UFTe1XPdrCupEZ]\n- **Tenure:** Leasehold (expiry 21 March 2120) [KB:y18Gd4UFTe1XPdrCupEZ]\n- **Maintenance Fee:** RM0.70 psf (ownership area — inclusive of car park &amp; sinking fund) [KB:y18Gd4UFTe1XPdrCupEZ]\n- **Total Units:** 172 units [KB:y18Gd4UFTe1XPdrCupEZ]\n- **Total Floors:** 59 floors (residences occupy top 20 floors) [KB:HFfCNzJmi112WSllyxTL]\n- **Completion / Vacant Possession Date:** VP completed (exact completion date not on record)\n- **Furnishing:** Optional ID package available for Type C (RM100,000) and Type D (RM150,000) [KB:FLco6lptV0OJPEEieo6Q]; standard unit furnishing packages not on record.\n- **Car Park Allocation:** Type C includes 2 car parks [KB:FLco6lptV0OJPEEieo6Q]; allocation breakdown for other specific layouts is not on record.\n\n---\n\n### **Layout Details &amp; Pricing**\n\n| Layout Type | Built-up Size | Bedrooms | Nett / Starting Price | Gross Price | Status / Sold Out |\n|---|---|---|---|---|---|\n| **Type C** | 1,119 sqft | 2 Bedrooms | From RM1,740,000 | Not on record | Available |\n| **Type D** | 1,636 sqft | 3 Bedrooms | From RM2,380,000 | Not on record | Available |\n| **Type E** | 2,282 sqft | 3+1 Bedrooms | From RM3,210,000 | Not on record | Available |\n| **Type E1** | 2,303 sqft | 3+1 Bedrooms | From RM3,260,000 | Not on record | Available |\n| **Type A3 &amp; B3** | 2,347 sqft | 3+1 Bedrooms | From RM3,490,000 | Not on record | Available |\n| **Type A2** | 2,809 sqft | 3+1 Bedrooms | From RM4,270,000 | Not on record | Available |\n| **Type B2** | 3,477 sqft | 5+1 Bedrooms | From RM5,260,000 | Not on record | Available |\n| **Type A1** | 5,210 sqft | 5+1 Bedrooms | Not on record (Private Invitation Only) | Not on record | Private Invitation Only |\n| **Type B1** | 5,877 sqft | 5+1 Bedrooms | Not on record (Private Invitation Only) | Not on record | Private Invitation Only |\n\n---\n\n### **Top Reasons to Buy**\n1. **Final Opportunity in Mid Valley City:** Represents the final residential component and last chance to own a home in the mature, self-sustaining Mid Valley City master plan [KB:yLhuS7uH22lNkBoZRDeq, KB:HFfCNzJmi112WSllyxTL].\n2. **Generous &amp; Human-Centric Spatial Planning:** Designed with expansive built-ups (1,119 sqft to 5,877 sqft) and clear space hierarchy, departing from micro-apartment trends [KB:yLhuS7uH22lNkBoZRDeq].\n3. **Integrated Live-Work Ecosystem:** Seamless connection to Mid Valley City’s offices, retail, dining, and transit right at your doorstep without commuting hassles [KB:uyukyjyoEVd6cIOl3qmm]."
}
```</t>
        </is>
      </c>
    </row>
    <row r="43">
      <c r="A43" s="2" t="inlineStr">
        <is>
          <t>P36</t>
        </is>
      </c>
      <c r="B43" s="2" t="inlineStr">
        <is>
          <t>Park Green at Pavilion Bukit Jalil</t>
        </is>
      </c>
      <c r="C43" s="2" t="n">
        <v>35.3</v>
      </c>
      <c r="D43" s="2" t="inlineStr">
        <is>
          <t>stop</t>
        </is>
      </c>
      <c r="E43" s="2" t="inlineStr">
        <is>
          <t>{"answer":"### Overview &amp; Location\n**Park Green at Pavilion Bukit Jalil** is a luxury freehold serviced residence development located at Persiaran Jalil Utama, next to Pavilion Bukit Jalil in KL South [KB:31Yf7ZiVhnSC7pwYZEMQ, KB:kVgPUbSDimk5PbnnzC82].\n\n---\n\n### Layout Details &amp; Pricing\n*Overall Project Price Range:* RM1,040,000 – RM2,229,790\n\n- **1,201 sqft** | 3 Bedrooms, 2 Bathrooms | 2 Car Parks\n  - *Nett Price:* Not on record\n  - *Gross Price:* Not on record\n  - *Status:* Available\n- **1,408 sqft** | 3 Bedrooms, 2 Bathrooms | 2 Car Parks\n  - *Nett Price:* Not on record\n  - *Gross Price:* Not on record\n  - *Status:* Available\n- **1,485 sqft** | 3 Bedrooms, 2 Bathrooms | 2 Car Parks\n  - *Nett Price:* Not on record\n  - *Gross Price:* Not on record\n  - *Status:* Available\n- **1,501 sqft** | 3 Bedrooms, 2 Bathrooms | 2 Car Parks\n  - *Nett Price:* Not on record\n  - *Gross Price:* Not on record\n  - *Status:* Available\n- **1,627 sqft** | 3 Bedrooms, 2 Bathrooms | 2 Car Parks\n  - *Nett Price:* Not on record\n  - *Gross Price:* Not on record\n  - *Status:* Available\n- **1,905 sqft** | 4 Bedrooms, 3 Bathrooms | 2–3 Car Parks\n  - *Nett Price:* Not on record\n  - *Gross Price:* Not on record\n  - *Status:* Available\n\n---\n\n### Key Specifications &amp; Information\n- **Area:** Pavilion Bukit Jalil, Kuala Lumpur [KB:31Yf7ZiVhnSC7pwYZEMQ, KB:kVgPUbSDimk5PbnnzC82]\n- **Developer:** Regal Path Sdn Bhd (a subsidiary of Malton Berhad) [KB:31Yf7ZiVhnSC7pwYZEMQ]\n- **Land Title:** Serviced Apartment (Commercial title under HDA) [KB:kVgPUbSDimk5PbnnzC82]\n- **Tenure:** Freehold [KB:31Yf7ZiVhnSC7pwYZEMQ]\n- **Maintenance Fee:** RM0.44 psf (inclusive of sinking fund) [KB:31Yf7ZiVhnSC7pwYZEMQ]\n- **Total Units:** 453 units (Tower A: 210 units, Tower B: 243 units) [KB:31Yf7ZiVhnSC7pwYZEMQ, KB:kVgPUbSDimk5PbnnzC82]\n- **Total Floors / Storeys:** 47 Storeys (Single block with 2 towers) [KB:31Yf7ZiVhnSC7pwYZEMQ, KB:kVgPUbSDimk5PbnnzC82]\n- **Target Completion / VP Date:** Q2 2029\n- **Car Park Allocation:** 2 car parks for 1,201–1,627 sqft units; 2–3 car parks for 1,905 sqft units\n- **Furnishing:** Partially furnished — includes wet kitchen cabinet with cooking hood &amp; hob, air-conditioners for living room and all bedrooms, digital lockset, 2-in-1 washer dryer, bathroom countertops &amp; vanity cabinets, shower screens with doors, and storage water heater in master bathroom\n\n---\n\n### Top Reasons to Buy\n1. **Direct Link Bridge to Pavilion Bukit Jalil:** Features a dedicated pedestrian bridge connecting directly to Pavilion Bukit Jalil Mall [KB:mUqS9VEt1KIT6alQj9dD, KB:3280lAF4e8FfW2hkaOJE].\n2. **Final Masterpiece in Bukit Jalil City:** Crowning final residential development within the iconic 50-acre Bukit Jalil City integrated township [KB:mUqS9VEt1KIT6alQj9dD, KB:9HElQOWKhS6z5h6zEYib].\n3. **Adjacent to 80-Acre Recreational Park:** Direct access and views overlooking the 80-acre Bukit Jalil Recreational Park [KB:9HElQOWKhS6z5h6zEYib].\n4. **Prime Freehold Location:** Rare freehold land tenure in a high-demand urban township [KB:31Yf7ZiVhnSC7pwYZEMQ, KB:9HElQOWKhS6z5h6zEYib]."}</t>
        </is>
      </c>
    </row>
    <row r="44">
      <c r="A44" s="2" t="inlineStr">
        <is>
          <t>P37</t>
        </is>
      </c>
      <c r="B44" s="2" t="inlineStr">
        <is>
          <t>OAKA Residences, Bukit Jalil</t>
        </is>
      </c>
      <c r="C44" s="2" t="n">
        <v>21.5</v>
      </c>
      <c r="D44" s="2" t="inlineStr">
        <is>
          <t>stop</t>
        </is>
      </c>
      <c r="E44" s="2" t="inlineStr">
        <is>
          <t>{
  "answer": "Here are the details for **OAKA Residences, Bukit Jalil** (Project ID: `vTsTFUTt5BYDltcvqEs2`):\n\n### Project Overview\n- **Area**: Bukit Jalil [KB:1CC5O0bZQntqFom3zMzB]\n- **Developer**: Berjaya Hartanah Berhad [KB:1CC5O0bZQntqFom3zMzB]\n- **Land Title**: Residential [KB:1CC5O0bZQntqFom3zMzB]\n- **Tenure**: Freehold [KB:1CC5O0bZQntqFom3zMzB]\n- **Maintenance Fee**: RM0.51 psf [KB:1CC5O0bZQntqFom3zMzB]\n- **Total Units**: 350 units (175 units per tower) [KB:1CC5O0bZQntqFom3zMzB]\n- **Total Floors**: 31 Storeys [KB:1CC5O0bZQntqFom3zMzB]\n- **Completion / Vacant Possession Date**: Q1 2028 [KB:1CC5O0bZQntqFom3zMzB]\n\n---\n\n### Unit Layouts\n*(Overall project pricing ranges from RM750,000 to RM1,400,000 nett [KB:aA9a0JWx1XVvGZXZVoLv]; specific gross and nett price breakdowns per individual layout are **not on record**)*\n\n- **Type A**: 882 sqft | 2 Bedrooms | Status: Available | Nett &amp; Gross Price per layout: Not on record\n- **Type B1/B2**: 1,182 sqft | 2+1 Bedrooms | Status: Available | Nett &amp; Gross Price per layout: Not on record\n- **Type B3**: 1,175 sqft | 2+1 Bedrooms (with lanai) | Status: Available | Nett &amp; Gross Price per layout: Not on record\n- **Type C**: 1,423 sqft | 3 Bedrooms | Status: Available | Nett &amp; Gross Price per layout: Not on record\n\n---\n\n### Car Park Allocation\n- All side-by-side bays [KB:aA9a0JWx1XVvGZXZVoLv]\n- **Standard Units (Types A, B1/B2, B3)**: 2 car park bays [KB:aA9a0JWx1XVvGZXZVoLv], [KB:dnED7q5E0TSJaOp1yoHD]\n- **Type C**: 3 car park bays [KB:aA9a0JWx1XVvGZXZVoLv], [KB:dnED7q5E0TSJaOp1yoHD]\n\n---\n\n### Furnishing\n- Semi-furnished / Partly furnished [KB:aA9a0JWx1XVvGZXZVoLv]:\n  - Dry &amp; wet kitchen cabinets with cooking hood &amp; hob\n  - Air-conditioners in living area and all bedrooms\n  - Shower screens &amp; vanity cabinets in all bathrooms\n  - All bathrooms designed with windows for natural ventilation\n\n---\n\n### Top Reasons to Buy [KB:h5bLgWeRYx196TtRbqFb]\n1. **Golf Course Views**: Direct views adjacent to Bukit Jalil Golf Course.\n2. **Low-Density Freehold**: Only 350 units across 2.2 acres.\n3. **Prime Accessibility**: 1km to Bukit Jalil Park &amp; Berjaya Golf Club, 1.5km to Pavilion Bukit Jalil.\n4. **Walkable Amenities**: 300m walk to The Esplanade dining and commercial enclave.\n5. **Functional Layouts**: Every unit includes dry &amp; wet kitchens, a balcony, and a yard.\n6. **Resort Facilities**: 42 facility types spread across 3 levels (Ground, Level 5, and Rooftop).\n7. **Established Developer**: Built by Berjaya Group, master developer in Bukit Jalil."
}</t>
        </is>
      </c>
    </row>
    <row r="45">
      <c r="A45" s="2" t="inlineStr">
        <is>
          <t>P38</t>
        </is>
      </c>
      <c r="B45" s="2" t="inlineStr">
        <is>
          <t>Senja The Jewel Collection</t>
        </is>
      </c>
      <c r="C45" s="2" t="n">
        <v>26.6</v>
      </c>
      <c r="D45" s="2" t="inlineStr">
        <is>
          <t>stop</t>
        </is>
      </c>
      <c r="E45" s="2" t="inlineStr">
        <is>
          <t>{
  "answer": "### Senja The Jewel Collection (Project ID: fB42TF3RMB3MkgthiAB7)\n\n**General Project Information**\n- **Area:** Seri Kembangan [KB:jahGAuoBkpmsWsqvPf6w] (The Mines Resort City, Selangor [KB:KvQcdjB14HtRIuR0N8WP])\n- **Developer:** CCCG joint-venture with WCT [KB:jahGAuoBkpmsWsqvPf6w] (BRDB in sales kit [KB:KvQcdjB14HtRIuR0N8WP])\n- **Land Title:** Residential Strata [KB:jahGAuoBkpmsWsqvPf6w]\n- **Tenure:** 88 years Leasehold [KB:jahGAuoBkpmsWsqvPf6w]\n- **Total Units:** 278 units total [KB:jahGAuoBkpmsWsqvPf6w] (Phase 1: 114 units — sold out; Phase 2: 83 units currently available [KB:KvQcdjB14HtRIuR0N8WP])\n- **Total Floors:** Not on record\n- **Completion / Vacant Possession Date:** Q1 2026 [KB:jahGAuoBkpmsWsqvPf6w]\n- **Maintenance Fee:** RM0.48 per share unit [KB:KvQcdjB14HtRIuR0N8WP] (Superlink: RM450–RM550; Semi-D: RM1,000–RM1,300; Zero-Lot Bungalow: RM1,500–RM1,800 [KB:KvQcdjB14HtRIuR0N8WP])\n- **Car Park Allocation:** Not on record\n\n**Layout Details &amp; Pricing**\n- **Phase 1 (114 units):** Sold out [KB:KvQcdjB14HtRIuR0N8WP]\n- **3-Storey Superlink:**\n  - **Size:** 3,398 – 3,473 sq ft [KB:W4IAaTkQRSgzVwyfwf3Q]\n  - **Bedrooms:** 4+1 Bedrooms [KB:KvQcdjB14HtRIuR0N8WP]\n  - **Gross Price:** From RM1.7 mil [KB:KvQcdjB14HtRIuR0N8WP]\n  - **Nett Price:** Not on record\n- **3-Storey Semi-D (6 Layouts):**\n  - **Size:** 4,299 – 6,743 sq ft [KB:W4IAaTkQRSgzVwyfwf3Q]\n  - **Bedrooms:** 5+1 Bedrooms [KB:KvQcdjB14HtRIuR0N8WP]\n  - **Gross Price:** RM2.2 mil – RM2.5 mil [KB:KvQcdjB14HtRIuR0N8WP]\n  - **Nett Price:** Not on record\n- **3-Storey Zero-Lot Bungalow:**\n  - **Size:** 4,924 sq ft [KB:KvQcdjB14HtRIuR0N8WP]\n  - **Bedrooms:** 5+1 Bedrooms [KB:KvQcdjB14HtRIuR0N8WP]\n  - **Gross Price:** RM2.5 mil – RM3.0 mil [KB:KvQcdjB14HtRIuR0N8WP]\n  - **Nett Price:** Not on record\n\n**Furnishing**\n- Bare unit with aircon piping, full bathroom fittings &amp; tiles, bathtub for Semi-D &amp; Bungalow units, master bathroom with hot &amp; cold piping, provision for internal lift, EV charging provision, and OKU-friendly ground floor bedroom [KB:9J5h0jl5yw0mORXPq3e8].\n\n**Top Reasons to Buy**\n- Exclusive gated &amp; guarded resort living set across 47.52 acres at The Mines Resort City [KB:KvQcdjB14HtRIuR0N8WP].\n- Dedicated resident clubhouse with swimming pool, gym, tennis court, sauna, games room, library, and co-working space [KB:KvQcdjB14HtRIuR0N8WP].\n- Excellent location near Australian International School (750m), The Mines Shopping Mall (2km), and Pavilion Bukit Jalil (9km) [KB:0vRAFiw6drro0qftmg97].\n- Future-proofed family homes equipped with lift provisions and EV charging infrastructure [KB:9J5h0jl5yw0mORXPq3e8]."
}</t>
        </is>
      </c>
    </row>
    <row r="46">
      <c r="A46" s="2" t="inlineStr">
        <is>
          <t>P39</t>
        </is>
      </c>
      <c r="B46" s="2" t="inlineStr">
        <is>
          <t>18 Madge Uthant</t>
        </is>
      </c>
      <c r="C46" s="2" t="n">
        <v>27.3</v>
      </c>
      <c r="D46" s="2" t="inlineStr">
        <is>
          <t>stop</t>
        </is>
      </c>
      <c r="E46" s="2" t="inlineStr">
        <is>
          <t>```json
{
  "matches": [],
  "answer": "Here are the details for **18 Madge Uthant** (Project ID: `lHfAYryEGRDmv9ZV2r6w`):\n\n### Project Overview &amp; Specifications\n- **Area:** Taman U-Thant / Ampang Hilir (Jalan Madge) [KB:e5Yz5WqO18NYwpanbpov]\n- **Developer:** Goodpark Development Sdn Bhd (subsidiary of KSL Holdings Bhd) [KB:SDu5ub4q7C4oTEhfHcHB] / Chin Hin [KB:e5Yz5WqO18NYwpanbpov]\n- **Land Title:** Residential [KB:e5Yz5WqO18NYwpanbpov]\n- **Tenure:** Freehold [KB:e5Yz5WqO18NYwpanbpov]\n- **Maintenance Fee:** RM0.55 psf (inclusive of sinking fund) [KB:e5Yz5WqO18NYwpanbpov]\n- **Total Units:** 50 units (1 tower) [KB:e5Yz5WqO18NYwpanbpov]\n- **Total Floors / Storeys:** 10 floors + 3 basement levels + rooftop [KB:e5Yz5WqO18NYwpanbpov]\n- **Completion / Vacant Possession Date:** Q4 2022 [KB:e5Yz5WqO18NYwpanbpov]\n- **Furnishing:** Bare units (except showroom units which are fully furnished) [KB:SDu5ub4q7C4oTEhfHcHB]\n- **Car Park Allocation:** [KB:SDu5ub4q7C4oTEhfHcHB]\n  - Units #3, 4, 5: 2 car parks\n  - Units #1, 2, 6: 3 car parks\n  - (Levels B1–B3, all single bays)\n- **Top Reasons to Buy:** Not on record\n\n### Layout &amp; Pricing Details\n- **Layout Table Status:** A comprehensive per-layout table detailing individual layout sizes, bedrooms, gross/nett prices, and sold-out status per unit type is **not on record** in the project layout table.\n- **Overall Built-up Size Range:** 2,238 sqft – 14,813 sqft [KB:SDu5ub4q7C4oTEhfHcHB]\n- **Overall Starting Price:** From RM2,260,000 (average ~RM1,020 psf) [KB:SDu5ub4q7C4oTEhfHcHB]"
}
```</t>
        </is>
      </c>
    </row>
    <row r="47">
      <c r="A47" s="2" t="inlineStr">
        <is>
          <t>P40</t>
        </is>
      </c>
      <c r="B47" s="2" t="inlineStr">
        <is>
          <t>Aria Luxury Residence @ KLCC</t>
        </is>
      </c>
      <c r="C47" s="2" t="n">
        <v>25.2</v>
      </c>
      <c r="D47" s="2" t="inlineStr">
        <is>
          <t>stop</t>
        </is>
      </c>
      <c r="E47" s="2" t="inlineStr">
        <is>
          <t>```json
{
  "answer": "### **Aria Luxury Residence @ KLCC** (Project ID: `3mxxrORFeZBV2RSUMu98`)\n\n#### **Layouts &amp; Pricing**\n* **Layout Details:** Not on record. (Per-layout pricing, unit sizes, and gross/nett pricing breakdown are not on record in the project file.)\n\n#### **Project Specifications**\n* **Area:** KLCC [KB:ptzHu714xFsiMxYyWwYd]\n* **Developer:** City View Ventures Sdn Bhd / (A subsidiary of GSH Corporation Ltd – listed on the Singapore Exchange) [KB:ptzHu714xFsiMxYyWwYd]\n* **Land Title:** Commercial under HDA [KB:ptzHu714xFsiMxYyWwYd]\n* **Maintenance Fee:** RM0.55 psf (including sinking fund) [KB:ptzHu714xFsiMxYyWwYd]\n* **Tenure:** Freehold [KB:ptzHu714xFsiMxYyWwYd]\n* **Total Units:** 598 units [KB:ptzHu714xFsiMxYyWwYd]\n* **Total Floors:** Not on record\n* **Completion / VP Date:** Not on record\n* **Furnishing:** Not on record\n* **Car Park Allocation:** Not on record\n\n#### **Top Reasons to Buy** [KB:j50abiwsve9IYaRZw7If]\n* **MRT Connectivity:** 650m / 7-minute walk to KLCC East / Conlay MRT Station.\n* **Proximity to KLCC Park:** 900m to 50-acre KLCC Park designed by Roberto Burle Marx.\n* **Prime Location:** Surrounded by 29 embassies within 1km and over 168 office towers within the Golden Triangle.\n* **Privacy:** 2 lifts serving only 2–3 units.\n* **Concierge Service:** 24-hour full-fledged concierge service (in-house management, housekeeping, airline reservations, leasing &amp; sub-sales).\n* **Low Density:** 598 units across 2 towers on 1.98 acres of freehold land.\n* **Security:** 6-tier security by GDSS Security Consultants (same consultant as embassies).\n* **Facilities:** 65,000 sqft of facilities — one of the largest facility spreads in the city centre."
}
```</t>
        </is>
      </c>
    </row>
    <row r="48">
      <c r="A48" s="2" t="inlineStr">
        <is>
          <t>P41</t>
        </is>
      </c>
      <c r="B48" s="2" t="inlineStr">
        <is>
          <t>AT6 Residensi @ Ampang Tengah</t>
        </is>
      </c>
      <c r="C48" s="2" t="n">
        <v>26.9</v>
      </c>
      <c r="D48" s="2" t="inlineStr">
        <is>
          <t>stop</t>
        </is>
      </c>
      <c r="E48" s="2" t="inlineStr">
        <is>
          <t>{
  "answer": "### AT6 Residensi @ Ampang Tengah\n\n**Layout Details:**\n- **Type A**\n  - **Size:** 2,799 sqft\n  - **Bedrooms:** 4 rooms + maid's room + 3 store rooms\n  - **Nett Price:** Not on record\n  - **Gross Price:** Not on record\n  - **Status:** Available (Rate starting from RM1,276 psf [KB:mcoti2Y2RdORYTeaUI5J])\n- **Type B**\n  - **Size:** 3,509 sqft\n  - **Bedrooms:** 4 rooms + maid's room + family room + 3 store rooms\n  - **Nett Price:** Not on record\n  - **Gross Price:** Not on record\n  - **Status:** Available (Rate starting from RM1,276 psf [KB:mcoti2Y2RdORYTeaUI5J])\n\n**Project Specifications:**\n- **Area:** Jalan Ampang Tengah [KB:iMlcSLGk62EMOdqN2Gfv]\n- **Developer:** Boulevard Realty Sdn. Bhd. [KB:mcoti2Y2RdORYTeaUI5J] / Platinum Victory Suites [KB:iMlcSLGk62EMOdqN2Gfv]\n- **Land Title:** Not on record\n- **Maintenance Fee:** RM0.45 psf + RM0.05 psf sinking fund [KB:mcoti2Y2RdORYTeaUI5J]\n- **Tenure:** Freehold [KB:iMlcSLGk62EMOdqN2Gfv]\n- **Total Units:** 35 units [KB:iMlcSLGk62EMOdqN2Gfv]\n- **Total Floors:** 20 floors [KB:mcoti2Y2RdORYTeaUI5J]\n- **Completion / Vacant Possession Date:** March 2023 (Already VP) [KB:iMlcSLGk62EMOdqN2Gfv]\n- **Top Reasons to Buy:** Not on record\n- **Furnishing:** Partial (Furnished wet kitchen, air-conditioning, quality flooring) [KB:mcoti2Y2RdORYTeaUI5J]\n- **Car Park Allocation:** 2–3 bays per unit (basement with power sockets) [KB:mcoti2Y2RdORYTeaUI5J]"
}</t>
        </is>
      </c>
    </row>
    <row r="49">
      <c r="A49" s="2" t="inlineStr">
        <is>
          <t>P42</t>
        </is>
      </c>
      <c r="B49" s="2" t="inlineStr">
        <is>
          <t>Clouthaus KLCC</t>
        </is>
      </c>
      <c r="C49" s="2" t="n">
        <v>29.7</v>
      </c>
      <c r="D49" s="2" t="inlineStr">
        <is>
          <t>stop</t>
        </is>
      </c>
      <c r="E49" s="2" t="inlineStr">
        <is>
          <t>{
  "answer": "Here are the project details for **Clouthaus KLCC** (Project ID: `oWzA0mi4GKdPIsZ4ioYJ`):\n\n### General Information\n- **Area:** KLCC (Jalan Ampang, within Menara TA compound) [KB:uYRt7FeWcVFnbmWZfwU1]\n- **Developer:** Armani Hallson KLCC Sdn Bhd / TA Global [KB:uYRt7FeWcVFnbmWZfwU1] [KB:vRti9dp1xx5yRp4m86Pz]\n- **Land Title:** Commercial [KB:uYRt7FeWcVFnbmWZfwU1]\n- **Tenure:** Freehold [KB:uYRt7FeWcVFnbmWZfwU1]\n- **Maintenance Fee:** RM0.80 psf [KB:KnVwhJRGzJ3D3HTjGSja]\n- **Total Units:** 615 units [KB:uYRt7FeWcVFnbmWZfwU1]\n- **Total Floors:** 64 storeys [KB:uYRt7FeWcVFnbmWZfwU1]\n- **Completion / Vacant Possession Date:** 2029 (54 months from SPA) [KB:uYRt7FeWcVFnbmWZfwU1] [KB:KnVwhJRGzJ3D3HTjGSja]\n- **Furnishing:** Partly Furnished (includes full air-conditioning, full kitchen with Gaggenau appliances, full bathrooms with Laufen sanitaryware, full wardrobes, Yale digital lock, marble flooring). Dual key units require Fully Furnished package [KB:KnVwhJRGzJ3D3HTjGSja].\n- **Car Park Allocation:** No designated car park; right to use car park space estimated at RM200/month [KB:KnVwhJRGzJ3D3HTjGSja].\n- **Top Reasons to Buy:** Not on record.\n\n---\n\n### Layout Details [KB:sBrqIGsLH6kceBk3iRCS]\n\n| Layout / Type | Size | Bedrooms | Nett Price | Gross Price | Status |\n|---|---|---|---|---|---|\n| Studio | 549 sqft | Studio | Not on record | Not on record | Not on record |\n| Type K | 635 sqft | 1 Bed | Not on record | Not on record | Not on record |\n| Type N | 893 sqft | 1 Bed / Dual Key | Not on record | Not on record | Not on record |\n| Type G &amp; H (Garden @ L9) | 904 sqft | 2 Beds | Not on record | Not on record | Not on record |\n| Type L | 980 sqft | 2 Beds | Not on record | Not on record | Not on record |\n| Type L1 | 990 sqft | 2 Beds | Not on record | Not on record | Not on record |\n| Type J | 1,001 sqft | 1 Bed / Dual Key | Not on record | Not on record | Not on record |\n| Type B | 1,098 sqft | 1 Bed / Dual Key | Not on record | Not on record | Not on record |\n| Type I (Garden @ L9) | 1,119 sqft | 3 Beds | Not on record | Not on record | Not on record |\n| Type M | 1,173 sqft | 1 Bed / Dual Key | Not on record | Not on record | Not on record |\n| Type A | 1,216 sqft | 3 Beds | Not on record | Not on record | Not on record |\n\n*Note on Pricing:* Individual layout nett and gross price breakdowns are not on record. Overall pricing starts from **RM1,326,000 onwards** [KB:sBrqIGsLH6kceBk3iRCS], with an estimated nett PSF rate of **RM2,900 – RM3,100 psf** depending on floor level and unit size [KB:KnVwhJRGzJ3D3HTjGSja]."
}</t>
        </is>
      </c>
    </row>
    <row r="50">
      <c r="A50" s="2" t="inlineStr">
        <is>
          <t>P43</t>
        </is>
      </c>
      <c r="B50" s="2" t="inlineStr">
        <is>
          <t>Conlay by E&amp;O</t>
        </is>
      </c>
      <c r="C50" s="2" t="n">
        <v>33.4</v>
      </c>
      <c r="D50" s="2" t="inlineStr">
        <is>
          <t>stop</t>
        </is>
      </c>
      <c r="E50" s="2" t="inlineStr">
        <is>
          <t>{
  "answer": "Here are the project details for **Conlay by E&amp;O** [Project ID: `SXDhvwmzeIxKlj4tQ7N7`]:\n\n### Project Overview\n- **Area:** KLCC (Jalan Conlay, Kuala Lumpur City Centre) [KB:56DmBKa1RdExB0Vt3uvg]\n- **Developer:** Patsawan Properties Sdn. Bhd. / Orion Tower Sdn. Bhd. (Joint Venture between Eastern &amp; Oriental Berhad and Mitsui Fudosan Group) [KB:56DmBKa1RdExB0Vt3uvg], [KB:GGaWlWF1BgiDFd588Wu7]\n- **Land Title:** Commercial Title [KB:56DmBKa1RdExB0Vt3uvg]\n- **Tenure:** Freehold [KB:56DmBKa1RdExB0Vt3uvg]\n- **Maintenance Fee:** Approx. RM0.80 psf [KB:56DmBKa1RdExB0Vt3uvg]\n- **Total Units:** 491 units (1 tower) [KB:56DmBKa1RdExB0Vt3uvg]\n- **Total Floors / Storeys:** 51 floors [KB:56DmBKa1RdExB0Vt3uvg]\n- **Completion / VP Date:** Completed Q1 2024 [KB:56DmBKa1RdExB0Vt3uvg]\n- **Furnishing:** Fully furnished by developer [KB:56DmBKa1RdExB0Vt3uvg]\n- **Car Park Allocation:** not on record (please confirm live allocation with D2 sales admin)\n\n---\n\n### Layout Breakdown\n*(Note: Specific unit-by-unit availability/sold-out status changes live; specific nett prices for individual layouts are not on record unless noted below. Contact D2 sales admin for the current live availability sheet.)*\n\n**1 Bedroom Layouts:**\n- **Type A1:** 743 sqft | 1 Bedroom | Gross Price: RM1,550,000 (advertising guideline baseline) [KB:0mhGrarch3IP9mPZLbW5] | Nett Price: not on record | Status: not on record\n- **Type A2:** 904 sqft | 1 Bedroom | Gross Price: RM1,850,000 (advertising guideline baseline) [KB:0mhGrarch3IP9mPZLbW5] | Nett Price: not on record | Status: not on record\n\n**1+1 Bedroom Layouts:**\n- **Type B:** 732 sqft | 1+1 Bedrooms | Gross Price: RM1,480,000 (advertising guideline baseline) [KB:0mhGrarch3IP9mPZLbW5] | Nett Price: not on record | Status: not on record\n- **Type B1:** 743 sqft | 1+1 Bedrooms | Gross Price: not on record | Nett Price: not on record | Status: not on record\n- **Type B2:** 840 sqft | 1+1 Bedrooms | Gross Price: not on record | Nett Price: not on record | Status: not on record\n- **Type B3:** 980 sqft | 1+1 Bedrooms | Gross Price: not on record | Nett Price: not on record | Status: not on record\n- **Type B4:** 1,066 sqft | 1+1 Bedrooms | Gross Price: not on record | Nett Price: not on record | Status: not on record\n- **Type B5:** 1,109 sqft | 1+1 Bedrooms | Gross Price: not on record | Nett Price: not on record | Status: not on record\n\n**2+1 Bedroom Layouts:**\n- **Type D:** 1,335 sqft | 2+1 Bedrooms | Gross Price: not on record | Nett Price: not on record | Status: not on record\n- **Type D1:** 1,389 sqft | 2+1 Bedrooms | Gross Price: not on record | Nett Price: not on record | Status: not on record\n- **Type D2:** 1,432 sqft | 2+1 Bedrooms | Gross Price: not on record | Nett Price: not on record | Status: not on record\n\n**Special Unit:**\n- **Show Unit:** 2,787 sqft | Bedrooms: not on record | Gross Price: not on record | Nett Price: RM3,253,842 nett | Status: available\n\n---\n\n### Top Reasons to Buy [KB:56DmBKa1RdExB0Vt3uvg]\n1. **Iconic Architecture:** Designed by world-renowned architect Kerry Hill (architect of Aman Tokyo, Datai Langkawi, Amanpuri Thailand).\n2. **Fully Furnished Luxury:** Premium designer finishings fully furnished by the developer.\n3. **Medical Hub Proximity:** 220m walk to Prince Court Medical Centre.\n4. **Transit &amp; Financial Hub Connection:** 280m walk to MRT Conlay, just 1 stop to TRX financial district (2.2m sqft mall &amp; 10-acre park).\n5. **Panoramic Views:** Three distinct facings capturing views of Royal Selangor Golf Club, TRX, and KL City skyline.\n6. **Prestigious Joint Venture:** Developed by E&amp;O in partnership with Mitsui Fudosan Group.\n7. **Prime Retail Access:** 3-minute drive to Pavilion KL mall."
}</t>
        </is>
      </c>
    </row>
    <row r="51">
      <c r="A51" s="2" t="inlineStr">
        <is>
          <t>P44</t>
        </is>
      </c>
      <c r="B51" s="2" t="inlineStr">
        <is>
          <t>Core Residence @ TRX</t>
        </is>
      </c>
      <c r="C51" s="2" t="n">
        <v>27.1</v>
      </c>
      <c r="D51" s="2" t="inlineStr">
        <is>
          <t>stop</t>
        </is>
      </c>
      <c r="E51" s="2" t="inlineStr">
        <is>
          <t>```json
{
  "answer": "Here are the project details for **Core Residence @ TRX**:\n\n### Project Overview\n- **Area:** TRX [KB:BvEOSI2qEJ4oyoNJZe52]\n- **Developer:** Armani Hartajaya Sdn Bhd under Pavilion Group [KB:BvEOSI2qEJ4oyoNJZe52] (also noted in project brief as CCCG joint-venture with WCT)\n- **Land Title:** Commercial under HDA [KB:BvEOSI2qEJ4oyoNJZe52]\n- **Tenure:** Freehold [KB:BvEOSI2qEJ4oyoNJZe52]\n- **Maintenance Fee:** Est. RM1.00 psf (inclusive of sinking fund) [KB:BvEOSI2qEJ4oyoNJZe52]\n- **Total Units:** 580 residential units [KB:BvEOSI2qEJ4oyoNJZe52]\n- **Total Floors:** Tower 1: 50 floors | Tower 2: 47 floors\n- **Completion / VP Date:** Q4 2023 [KB:BvEOSI2qEJ4oyoNJZe52]\n- **Car Park Allocation:** Not on record (TBC)\n\n---\n\n### Layout Details\n- **1 Room (624 sqft):** 1 Bedroom | Status: Available | Nett Price: Not on record | Gross Price: Not on record\n- **1+1 Room (688 sqft):** 1+1 Bedroom | Status: Available | Nett Price: Not on record | Gross Price: Not on record\n- **2 Rooms (817 sqft):** 2 Bedrooms | Status: Available | Nett Price: Not on record | Gross Price: Not on record\n- **2 Rooms (1,011 sqft):** 2 Bedrooms | Status: **Sold Out** | Nett Price: Not on record | Gross Price: Not on record\n- **2+1 Rooms (839 sqft - corner unit &amp; 925 sqft):** 2+1 Bedrooms | Status: **Sold Out** | Nett Price: Not on record | Gross Price: Not on record\n- **3 Rooms (1,022 sqft):** 3 Bedrooms | Status: **Sold Out** | Nett Price: Not on record | Gross Price: Not on record\n\n---\n\n### Furnishing Details\n- Yale smart lock &amp; smart intercom\n- L-shape kitchen cabinet with Teka microwave oven, hood &amp; hob\n- 2-in-1 washer dryer\n- Full air-conditioning\n- Double-glazed windows\n- Built-in wardrobe (Blum) in master bedroom &amp; room 2\n- Full bath sanitary fittings (Kohler &amp; Grohe) with wall-hung toilet bowl\n\n---\n\n### Top Reasons to Buy [KB:BvEOSI2qEJ4oyoNJZe52]\n1. Located in 1 of only 2 residential developments within the official TRX zone, featuring an official TRX address and postcode.\n2. Exclusive direct Link Bridge to Central Park (for residents only).\n3. Direct attachment to 10 acres of TRX Park (events lawn, city forest, aromatic gardens).\n4. Direct attachment to 2.2 mil sqft TRX lifestyle mall (featuring Seibu, Apple Flagship Store, GSC S.E.A IMAX cinema).\n5. Developed by Fortune 500 Global Corporation (CCCG, builder of the HK-Zhuhai-Macau bridge).\n6. Easy access to MRT1 &amp; MRT2 interchange TRX station via the mall."
}
```</t>
        </is>
      </c>
    </row>
    <row r="52">
      <c r="A52" s="2" t="inlineStr">
        <is>
          <t>P45</t>
        </is>
      </c>
      <c r="B52" s="2" t="inlineStr">
        <is>
          <t>Dawn KLCC</t>
        </is>
      </c>
      <c r="C52" s="2" t="n">
        <v>32.3</v>
      </c>
      <c r="D52" s="2" t="inlineStr">
        <is>
          <t>stop</t>
        </is>
      </c>
      <c r="E52" s="2" t="inlineStr">
        <is>
          <t>{
  "answer": "Here are the details for **Dawn KLCC** (Project ID: `2XuDf0Kw7ebp92Z4CMaP`):\n\n### **Project Overview**\n- **Area:** KLCC, Kuala Lumpur [KB:O7IzDA8Czp6e9vlxFbvG]\n- **Developer:** Dawn Land Sdn Bhd (Affiliate of Chin Hin Group Property Berhad / BSG Group) [KB:O7IzDA8Czp6e9vlxFbvG][KB:sAEwPtmvaST2Tg4QHrKf]\n- **Land Title:** Commercial [KB:O7IzDA8Czp6e9vlxFbvG][KB:sAEwPtmvaST2Tg4QHrKf]\n- **Tenure:** Freehold [KB:O7IzDA8Czp6e9vlxFbvG][KB:sAEwPtmvaST2Tg4QHrKf]\n- **Total Units:** 960 units (Tower A: 492 units | Tower B: 468 units) [KB:sAEwPtmvaST2Tg4QHrKf]\n- **Total Floors:** Up to 68 levels [KB:sAEwPtmvaST2Tg4QHrKf][KB:B4K5eielz1ZKU9xwrPM4]\n- **Expected Completion / VP Date:** Target 2029 [KB:O7IzDA8Czp6e9vlxFbvG][KB:YznPpbgj05GmYJapkHrI]\n- **Maintenance Fee:** Charged based on allocated share unit as per Strata Management Act 2013 (exact rate per sqft is **not on record**) [KB:YznPpbgj05GmYJapkHrI]\n- **Car Park Allocation:** Nil / 0 bays allocated per unit ( total 490 bays operated via season/daily rental) [KB:hJTpuRZMPE7xn5M43Q1J]\n- **Furnishing:** Fully furnished (15% discount package) or partially furnished (20% discount package) for Type A &amp; B; Kitchen fitted by Signature Kitchen\n\n---\n\n### **Layout Details**\n*Note: Specific individual breakdown for gross and nett prices per layout is **not on record** (overall project starting price is from RM1,270,000).* \n\n#### **Lifestyle Suites (Tower B)**\n- **Type A1:** 350 sqft | 1 Bed, 1 Bath | Nett/Gross Price: *Not on record*\n- **Type A2:** 405 sqft | 1 Bed, 1 Bath | Nett/Gross Price: *Not on record*\n- **Type A3:** 416 sqft | 1 Bed, 1 Bath | Nett/Gross Price: *Not on record*\n- **Type A4:** 350 sqft | 1 Bed, 1 Bath | Nett/Gross Price: *Not on record*\n- **Type A5:** 348 sqft | 1 Bed, 1 Bath | Nett/Gross Price: *Not on record*\n- **Type A6:** 402 sqft | 1 Bed, 1 Bath | Nett/Gross Price: *Not on record*\n- **Type A7:** 413 sqft | 1 Bed, 1 Bath | Nett/Gross Price: *Not on record*\n\n#### **Serviced Apartments (Tower A)**\n- **Type B:** 550 sqft | Dual key, 2 Baths | Nett/Gross Price: *Not on record*\n- **Type B1:** 550 sqft | 2 Beds, 1 Bath | Nett/Gross Price: *Not on record*\n- **Type C:** 762 sqft | Dual key, 2 Baths | **Sold Out**\n- **Type CA:** 806 sqft | Dual key, 2 Baths | Nett/Gross Price: *Not on record*\n- **Type C1:** 739 sqft | 2 Beds, 1 Bath | Nett/Gross Price: *Not on record*\n- **Type C1A:** 780 sqft | 2 Beds, 1 Bath | Nett/Gross Price: *Not on record*\n- **Type C2:** 785 sqft | 2 Beds, 1 Bath | Nett/Gross Price: *Not on record*\n- **Type C2A:** 835 sqft | 2 Beds, 1 Bath | Nett/Gross Price: *Not on record*\n- **Type C3:** 760 sqft | Dual key, 2 Baths | Nett/Gross Price: *Not on record*\n- **Type C4:** 804 sqft | Dual key, 2 Baths | Nett/Gross Price: *Not on record*\n- **Type C5:** 737 sqft | 2 Beds, 1 Bath | Nett/Gross Price: *Not on record*\n- **Type C6:** 737 sqft | 2 Beds, 1 Bath | Nett/Gross Price: *Not on record*\n- **Type C7:** 783 sqft | 2 Beds, 1 Bath | Nett/Gross Price: *Not on record*\n- **Type C8:** 833 sqft | 2 Beds, 1 Bath | Nett/Gross Price: *Not on record*\n\n---\n\n### **Top Reasons to Buy** [KB:YznPpbgj05GmYJapkHrI][KB:B4K5eielz1ZKU9xwrPM4]\n1. **Prime Freehold Location in KLCC:** Located approx. 385m walking distance to KLCC Twin Towers &amp; KLCC/Kampung Baru LRT stations.\n2. **Iconic High-Rise Architecture &amp; Sky Facilities:** Sky lounge &amp; F&amp;B bar on Level 68 with 360° views of KL city center.\n3. **Sustainable &amp; Wellness Design:** GreenRE Certified with north-south unit orientation to minimize direct sunlight exposure and heat."
}</t>
        </is>
      </c>
    </row>
    <row r="53">
      <c r="A53" s="2" t="inlineStr">
        <is>
          <t>P46</t>
        </is>
      </c>
      <c r="B53" s="2" t="inlineStr">
        <is>
          <t>Eaton Residences by Sutera @ KLCC</t>
        </is>
      </c>
      <c r="C53" s="2" t="n">
        <v>33.8</v>
      </c>
      <c r="D53" s="2" t="inlineStr">
        <is>
          <t>stop</t>
        </is>
      </c>
      <c r="E53" s="2" t="inlineStr">
        <is>
          <t>{
  "matches": [],
  "answer": "### Eaton Residences by Sutera @ KLCC (Project ID: `A7h6tCOPvghxPHW1l5JA`)\n\n**General Project Details:**\n- **Area:** KLCC [KB:cde5ArGy9wCRzO1C6wa2]\n- **Developer:** City View Ventures Sdn Bhd (subsidiary of GSH Corporation Ltd – listed on Singapore Exchange) / Intan Sekitar Sdn Bhd (Crest Builder Berhad) [KB:cde5ArGy9wCRzO1C6wa2], [KB:5kzs25f16RvEC9IZSzMx]\n- **Land Title:** Commercial Title (Leasehold) [KB:cde5ArGy9wCRzO1C6wa2]\n- **Tenure:** Leasehold (until 31st Dec 2114) [KB:cde5ArGy9wCRzO1C6wa2]\n- **Maintenance Fee:** RM0.65 psf (inclusive of sinking fund) [KB:cde5ArGy9wCRzO1C6wa2], [KB:X0gjysn6HCjfAbG8FMPg]\n- **Total Units:** 632 units (D2 project info sheet notes up to 960 units across 2 towers) [KB:cde5ArGy9wCRzO1C6wa2], [KB:Li91Bc88i9TWX8UWO7G9]\n- **Total Floors:** 52 floors [KB:Li91Bc88i9TWX8UWO7G9]\n- **Completion / VP Date:** Completed Q1 2022 (VP status: Completed) [KB:cde5ArGy9wCRzO1C6wa2]\n\n---\n\n**Layout Breakdown:**\n*(Note: Per-unit breakdown of individual gross and nett prices is not on record. Overall project starting price is RM1,148,750 / ~RM1,400+ psf [KB:wIudlh7MSsNSv8clEqFz].)*\n\n- **1 Bedroom:** 635 sq. ft. | 1 Bed | Gross Price: Not on record | Nett Price: Not on record | Status: Available\n- **1 + 1 Flexi Room:** 775 / 840 sq. ft. (also listed as 872 sq. ft.) | 1+1 Beds | Gross Price: Not on record | Nett Price: Not on record | Status: Available\n- **2 + 1 Bedrooms:** 1,410 sq. ft. | 2+1 Beds | Gross Price: Not on record | Nett Price: Not on record | Status: Available\n- **3 Bedrooms (Corner):** 1,550 sq. ft. | 3 Beds | Gross Price: Not on record | Nett Price: Not on record | Status: Available\n- **Penthouse:** 2,885 sq. ft. | Penthouse | Gross Price: Not on record | Nett Price: Not on record | Status: Available\n\n*Featured Show / ID Units:* [KB:X0gjysn6HCjfAbG8FMPg]\n- **32-2:** 1,410 sq. ft. (2+1 beds, KLCC view)\n- **43A-11:** 850 sq. ft. (1+1 beds, Golf view)\n- **43A-13A:** 1,550 sq. ft. (3 beds, TRX/KLCC/118 view)\n\n---\n\n**Car Park Allocation:** [KB:Li91Bc88i9TWX8UWO7G9], [KB:X0gjysn6HCjfAbG8FMPg]\n- **Units &lt; 1,000 sq. ft.:** 1 car park\n- **Units ≥ 1,000 sq. ft.:** 2 tandem car parks\n- **Penthouses:** 4 tandem car parks\n- **Car Park Levels:** Basement 1–3 and Levels 1–7\n\n---\n\n**Furnishing:** [KB:X0gjysn6HCjfAbG8FMPg]\n- Show units and selected units come fully ID furnished (for own stay or Airbnb-ready).\n\n---\n\n**Top Reasons to Buy:** [KB:Li91Bc88i9TWX8UWO7G9], [KB:X0gjysn6HCjfAbG8FMPg], [KB:wIudlh7MSsNSv8clEqFz]\n1. **Exceptional Value in KLCC:** One of the most attractive PSF rates for new developments in the Golden Triangle (from ~RM1,400+ psf).\n2. **Unmatched Connectivity:** Only 190m (3-minute walk) to MRT2 Conlay Station (1 stop to TRX financial hub or KLCC Park).\n3. **Prime Shopping Precinct:** Just 900m to 1.1km to Pavilion KL and Bukit Bintang.\n4. **Iconic Cantilever Infinity Pool:** Level 51 features Malaysia's highest and largest cantilevered infinity pool with panoramic views of the KLCC Twin Towers.\n5. **High Airbnb &amp; Rental Demand:** Consistently ranked among top popular rental properties in KLCC with strong occupancy rates."
}</t>
        </is>
      </c>
    </row>
    <row r="54">
      <c r="A54" s="2" t="inlineStr">
        <is>
          <t>P47</t>
        </is>
      </c>
      <c r="B54" s="2" t="inlineStr">
        <is>
          <t>Platinum Face Suite 2 KLCC</t>
        </is>
      </c>
      <c r="C54" s="2" t="n">
        <v>31.3</v>
      </c>
      <c r="D54" s="2" t="inlineStr">
        <is>
          <t>stop</t>
        </is>
      </c>
      <c r="E54" s="2" t="inlineStr">
        <is>
          <t>{
  "answer": "### Platinum Face Suite 2 KLCC — Project Details\n\n**Layouts:**\n- **Studio (550 sq.ft)**: Studio | Nett Price: Not on record | Gross Price: Not on record (Average ~RM2,000 psf)\n- **Studio (560 sq.ft)**: Studio | Nett Price: Not on record | Gross Price: Not on record (Average ~RM2,000 psf)\n- **Studio (650 sq.ft)**: Studio | Nett Price: Not on record | Gross Price: Not on record (Average ~RM2,000 psf)\n- **Studio (765 sq.ft)**: Studio | Nett Price: Not on record | Gross Price: Not on record (Average ~RM2,000 psf)\n- **2 Bedrooms (1,150 sq.ft)**: 2 Bedrooms | Nett Price: Not on record | Gross Price: Not on record (Average ~RM2,000 psf)\n- **2 Bedrooms (1,195 sq.ft)**: 2 Bedrooms | Nett Price: Not on record | Gross Price: Not on record (Average ~RM2,000 psf)\n- **3 Bedrooms (1,625 sq.ft)**: 3 Bedrooms | Nett Price: Not on record | Gross Price: Not on record (Average ~RM2,000 psf)\n\n*Note: Individual nett and gross prices per layout as well as layout-specific sold-out statuses are not on record.* \n\n**Project Facts:**\n- **Area:** KLCC [KB:s6Cq9o9dg427IbJCmEW6]\n- **Developer:** Andarama SB under Quill group of companies (Completed 20 corporate offices, distributor of BMW &amp; Rolls Royce Msia.) [KB:s6Cq9o9dg427IbJCmEW6]\n- **Land Title:** Commercial (with hotel license) [KB:s6Cq9o9dg427IbJCmEW6]\n- **Tenure:** Freehold [KB:s6Cq9o9dg427IbJCmEW6]\n- **Maintenance Fee:** RM0.55 psf [KB:s6Cq9o9dg427IbJCmEW6]\n- **Total Units:** 733 units [KB:s6Cq9o9dg427IbJCmEW6]\n- **Total Floors / Storeys:** 51 floors [KB:s6Cq9o9dg427IbJCmEW6]\n- **Completion / Vacant Possession Date:** Completed [KB:s6Cq9o9dg427IbJCmEW6]\n- **Furnishing:** Exclusively fully furnished, hotel-style [KB:SieftkOFkw7EnL8P04JS]\n- **Car Park Allocation:** 1 car park per unit [KB:SieftkOFkw7EnL8P04JS]\n- **Top Reasons to Buy:** Not on record (I can check directly with D2 sales admin for specific marketing points if required)."
}</t>
        </is>
      </c>
    </row>
    <row r="55">
      <c r="A55" s="2" t="inlineStr">
        <is>
          <t>P48</t>
        </is>
      </c>
      <c r="B55" s="2" t="inlineStr">
        <is>
          <t>Armani Hallson @ Jalan Ampang</t>
        </is>
      </c>
      <c r="C55" s="2" t="n">
        <v>29.5</v>
      </c>
      <c r="D55" s="2" t="inlineStr">
        <is>
          <t>stop</t>
        </is>
      </c>
      <c r="E55" s="2" t="inlineStr">
        <is>
          <t>{
  "answer": "### Armani Hallson @ Jalan Ampang – Project Details\n\n**Project Information**\n* **Area:** Jalan Ampang, Kuala Lumpur [KB:VeqOCBmCFSVa3TlWqzMC]\n* **Developer:** Armani Hallson KLCC Sdn Bhd / KL Metro Group [KB:VeqOCBmCFSVa3TlWqzMC], [KB:GpkrmbhIZyi9w9orPorJ]\n* **Land Title:** Not on record (SOHO / SOVO Commercial Development)\n* **Tenure:** Freehold [KB:VeqOCBmCFSVa3TlWqzMC], [KB:GpkrmbhIZyi9w9orPorJ]\n* **Maintenance Fee:** RM0.95 psf (inclusive of sinking fund) [KB:GpkrmbhIZyi9w9orPorJ]\n* **Total Units:** 2,215 units (SOHO: 775 units | SOVO: 1,440 units) [KB:VeqOCBmCFSVa3TlWqzMC], [KB:GpkrmbhIZyi9w9orPorJ]\n* **Total Floors / Towers:** 3 Towers — 1 SOHO Tower (69 floors) &amp; 2 SOVO Towers (78 floors) [KB:GpkrmbhIZyi9w9orPorJ]\n* **Completion / Vacant Possession Date:** Year 2029 [KB:GpkrmbhIZyi9w9orPorJ]\n* **Furnishing:** Fully furnished\n* **Car Park Allocation:** 1,189 total parking lots [KB:GpkrmbhIZyi9w9orPorJ] (dual-key units include a car park; specific allocation for other unit types is not on record)\n\n**Layout Details**\n*Note: Per-unit bedroom counts, total gross prices, and total lump-sum nett prices are not on record. Pricing on record is on a per-square-foot rate: SOHO at RM1,600 psf (nett), SOVO Internal/Blocked View at RM1,800 psf (nett), and SOVO KLCC View at RM2,200 psf (nett).* \n\n* **SOVO Layouts:**\n  * **Type A:** 776 sqft (224 units) | Bedrooms: Not on record | Nett Price: Not on record (RM1,800–RM2,200 psf nett rate) | Gross Price: Not on record | Status: Available\n  * **Type B:** 406 sqft (672 units) | Bedrooms: Not on record | Nett Price: Not on record (RM1,800–RM2,200 psf nett rate) | Gross Price: Not on record | Status: Available\n  * **Type B1:** 438 sqft (372 units) | Bedrooms: Not on record | Nett Price: Not on record (RM1,800–RM2,200 psf nett rate) | Gross Price: Not on record | Status: Available\n  * **Type C:** 813 sqft (112 units) | Bedrooms: Not on record | Nett Price: Not on record (RM1,800–RM2,200 psf nett rate) | Gross Price: Not on record | Status: Available\n  * **Type D:** 813 sqft (36 units) | Bedrooms: Not on record | Nett Price: Not on record (RM1,800–RM2,200 psf nett rate) | Gross Price: Not on record | Status: Available\n  * **Type E:** 1,182 sqft (24 units) | Bedrooms: Not on record | Nett Price: Not on record (RM1,800–RM2,200 psf nett rate) | Gross Price: Not on record | Status: Available\n\n* **SOHO Layouts:**\n  * **Type A:** 558 sqft (456 units) | Bedrooms: Not on record | Nett Price: Not on record (RM1,600 psf nett rate) | Gross Price: Not on record | Status: Available\n  * **Type B:** 538 sqft (319 units) | Bedrooms: Not on record | Nett Price: Not on record (RM1,600 psf nett rate) | Gross Price: Not on record | Status: Available\n\n**Top Reasons to Buy** [KB:Qg8MQexlDPWEUt5QF7yG]\n1. **Prime CBD Location &amp; Connectivity:** Features a 300m approved link bridge to KLCC and walking distance to Bukit Nanas Monorail Station.\n2. **Strong Investment Potential:** Situated in KL's central business district near TRX, managed by Airbnb operator Five Sense with a 4% minimum performance assurance.\n3. **Exceptional Accessibility:** Quick access to major highways (AKLEH, Jalan P. Ramlee), healthcare centers, corporate hubs, and embassies."
}</t>
        </is>
      </c>
    </row>
    <row r="56">
      <c r="A56" s="2" t="inlineStr">
        <is>
          <t>P49</t>
        </is>
      </c>
      <c r="B56" s="2" t="inlineStr">
        <is>
          <t>Orion Residence</t>
        </is>
      </c>
      <c r="C56" s="2" t="n">
        <v>31.6</v>
      </c>
      <c r="D56" s="2" t="inlineStr">
        <is>
          <t>stop</t>
        </is>
      </c>
      <c r="E56" s="2" t="inlineStr">
        <is>
          <t>{
  "answer": "Here are the full details for **Orion Residence** [KB:OcwuO1h3AKAe1VqeuE45]:\n\n### Layout Details\n*Note: Per-layout gross and nett prices are **not on record** (overall project pricing ranges from RM 1,450,000 to RM 4,000,000 / RM 2,400 – RM 3,750 psf [KB:CP52wjOx3r0epR0umV3P]). Please consult D2 sales admin for current unit-level pricing.* \n\n* **Type A1 &amp; A2:** 495 sq ft | Studio | Gross Price: Not on record | Nett Price: Not on record\n* **Type A3:** 497 sq ft | Studio | Gross Price: Not on record | Nett Price: Not on record\n* **Type A4:** 491 sq ft | Studio | Gross Price: Not on record | Nett Price: Not on record\n* **Type A4-T:** 588 sq ft (with Private Terrace) | Studio | Gross Price: Not on record | Nett Price: Not on record\n* **Type B1:** 680 sq ft | 2 Bedrooms | Gross Price: Not on record | Nett Price: Not on record\n* **Type B2:** 746 sq ft | 2 Bedrooms | Gross Price: Not on record | Nett Price: Not on record\n* **Type B3:** 746 sq ft | 2 Bedrooms | Gross Price: Not on record | Nett Price: Not on record\n* **Type B4:** 708 sq ft | 2 Bedrooms | Gross Price: Not on record | Nett Price: Not on record\n* **Type C1:** 838 sq ft | 2 Bedrooms | Gross Price: Not on record | Nett Price: Not on record\n* **Type C2:** 945 sq ft | 2 Bedrooms | Gross Price: Not on record | Nett Price: Not on record\n* **Type C3:** 923 sq ft | 2 Bedrooms | Gross Price: Not on record | Nett Price: Not on record\n* **Type C3-T:** 1,155 sq ft (with Private Terrace) | 2 Bedrooms | Gross Price: Not on record | Nett Price: Not on record\n* **Type C4:** 992 sq ft | 2 Bedrooms | Gross Price: Not on record | Nett Price: Not on record\n* **Type C4-T:** 1,186 sq ft (with Private Terrace) | 2 Bedrooms | Gross Price: Not on record | Nett Price: Not on record\n* **Type C5:** 886 sq ft | 2 Bedrooms | Gross Price: Not on record | Nett Price: Not on record\n* **Type C5-T:** 1,077 sq ft (with Private Terrace) | 2 Bedrooms | Gross Price: Not on record | Nett Price: Not on record\n* **Type D1:** 1,180 sq ft | 3 Bedrooms (Dual-Key) | Gross Price: Not on record | Nett Price: Not on record\n* **Type D2:** 1,329 sq ft | 3 Bedrooms (Dual-Key) | Gross Price: Not on record | Nett Price: Not on record\n* **Type D3:** 1,230 sq ft | 3 Bedrooms (Dual-Key) | Gross Price: Not on record | Nett Price: Not on record\n* **Type D4:** 1,271 sq ft | 3 Bedrooms (Dual-Key) | Gross Price: Not on record | Nett Price: Not on record\n* **Penthouse (2 units):** **SOLD OUT** [KB:CP52wjOx3r0epR0umV3P]\n\n---\n\n### Key Project Details\n* **Area:** Bukit Bintang, Kuala Lumpur [KB:OcwuO1h3AKAe1VqeuE45]\n* **Developer:** Oxley Holding [KB:OcwuO1h3AKAe1VqeuE45] / Orion Tower Sdn. Bhd\n* **Land Title:** Residential [KB:OcwuO1h3AKAe1VqeuE45] (Commercial under HDA [KB:CP52wjOx3r0epR0umV3P])\n* **Tenure:** Freehold [KB:OcwuO1h3AKAe1VqeuE45]\n* **Maintenance Fee:** RM1.32 psf including sinking fund [KB:CP52wjOx3r0epR0umV3P] (Free 2 years maintenance fees upon CCC; selected packages offer up to 9 years free maintenance [KB:NlauwbekbfyxchI9OlI6])\n* **Total Units:** 298 units (1 Tower) [KB:OcwuO1h3AKAe1VqeuE45]\n* **Total Floors:** 46 Floors [KB:OcwuO1h3AKAe1VqeuE45]\n* **Completion / Vacant Possession Date:** Estimated Q2 2025 [KB:OcwuO1h3AKAe1VqeuE45], [KB:CP52wjOx3r0epR0umV3P]\n* **Furnishing:** Fully furnished units with 5-star interior design standards [KB:9mpzqttssJ5gWRA8d9V1]\n* **Car Park Allocation:** 1 car park (right to use) per unit via Automated Mechanism Car Park system [KB:CP52wjOx3r0epR0umV3P] (Total car parks: 400; visitor car parks: 30)\n\n### Top Reasons to Buy\n1. **Prime Bukit Bintang Location:** Next door to Starhill Gallery and The Ritz-Carlton KL; ~200m walk to Pavilion KL and TRX.\n2. **Signature Architectural Feature:** Southeast Asia's first outdoor transparent glass elevator ascending to Level 43–46 (Fine Dining &amp; Moon Bar) [KB:CP52wjOx3r0epR0umV3P].\n3. **Luxury Perks:** Complementary Rolls-Royce &amp; Mercedes-Benz Vito MPV limousine service within 3 km [KB:9mpzqttssJ5gWRA8d9V1].\n4. **Investment Model:** Mandatory 70/30 profit-sharing pool management option for hands-off hotel rental income [KB:NlauwbekbfyxchI9OlI6]."
}</t>
        </is>
      </c>
    </row>
    <row r="57">
      <c r="A57" s="2" t="inlineStr">
        <is>
          <t>P50</t>
        </is>
      </c>
      <c r="B57" s="2" t="inlineStr">
        <is>
          <t>PSQ Pavilion Square</t>
        </is>
      </c>
      <c r="C57" s="2" t="n">
        <v>26.1</v>
      </c>
      <c r="D57" s="2" t="inlineStr">
        <is>
          <t>stop</t>
        </is>
      </c>
      <c r="E57" s="2" t="inlineStr">
        <is>
          <t>```json
{
  "answer": "### PSQ Pavilion Square Details (Project ID: `sMPvO88kDSUNcJlujNK3`)\n\n#### Layouts &amp; Pricing\n*Overall project pricing ranges from RM1,319,000 to RM5,409,000 [KB:gJZlQW6IQLEu0gs2lP4O], with an average rate of RM2,600 – RM3,300 psf. Specific per-layout gross/nett prices and individual layout sold-out statuses are not on record.*\n\n- **Type A (Studio)**: 504 sq.ft. | Studio (0 Bedrooms) | Nett Price: not on record | Gross Price: not on record | Status: not on record\n- **Type B1**: 770 sq.ft. | 1+1 Bedrooms | Nett Price: not on record | Gross Price: not on record | Status: not on record\n- **Type B2**: 772 sq.ft. | 1+1 Bedrooms | Nett Price: not on record | Gross Price: not on record | Status: not on record\n- **Type C1**: 966 sq.ft. | 2 Bedrooms | Nett Price: not on record | Gross Price: not on record | Status: not on record\n- **Type C2**: 978 sq.ft. | 2+1 Bedrooms | Nett Price: not on record | Gross Price: not on record | Status: not on record\n- **Type C3**: 1,100 sq.ft. | 2+1 Bedrooms | Nett Price: not on record | Gross Price: not on record | Status: not on record\n- **Type C4**: 1,272 sq.ft. | 2+1 Bedrooms | Nett Price: not on record | Gross Price: not on record | Status: not on record\n- **Type D**: 1,255 sq.ft. | 3 Bedrooms | Nett Price: not on record | Gross Price: not on record | Status: not on record\n\n#### Project Overview &amp; Facts\n- **Area**: Bukit Bintang, KL (Opposite Pavilion KL Mall, Jalan Bukit Bintang) [KB:6vGV2DMNKFrSCPVFfEoK]\n- **Developer**: Armani Hartajaya Sdn Bhd under Pavilion Group / Hartamaju Sdn Bhd (subsidiary of Wing Tai Malaysia Sdn Bhd) [KB:6vGV2DMNKFrSCPVFfEoK]\n- **Land Title**: Commercial title, Serviced Residence under HDA\n- **Maintenance Fee**: RM0.99 per sqft (inclusive of sinking fund) [KB:6vGV2DMNKFrSCPVFfEoK]\n- **Tenure**: Leasehold till 04 October 2122 [KB:6vGV2DMNKFrSCPVFfEoK] [KB:Ep4l1Rr3RwGPFg2inNIM]\n- **Total Units**: 1,158 units (960 Luxury Residences, 106 Corporate Suites, 6 Retail Spaces) [KB:6vGV2DMNKFrSCPVFfEoK]\n- **Total Floors**: 92 Storeys total (67-storey Luxury Residence tower, 25-storey Corporate Suites tower) [KB:6vGV2DMNKFrSCPVFfEoK]\n- **Completion / Vacant Possession Date**: Q3 2029 / 2030 (58 months from SPA) [KB:Ep4l1Rr3RwGPFg2inNIM]\n- **Furnishing**: Exclusively Fully Furnished\n- **Car Park Allocation**: \n  - 504 sq.ft. (Studio): Not applicable (0 carpark)\n  - 700 sq.ft. – 1,100+ sq.ft.: 1 carpark slot\n\n#### Top Reasons to Buy\n1. **Unbeatable Location &amp; Accessibility**: Located in the Golden Triangle opposite Pavilion KL Mall, connected via a direct dedicated link-bridge [KB:w7ZFTNAXew2ocdrnCUKr] [KB:ekL3xo4qPM2XCGA4So90].\n2. **World-Class Lifestyle Facilities**: Over 70,000 sq.ft. of facilities across 4 levels (Level 12, 63A, 66, 67), featuring KL City Centre's largest Sky Gym (15,000 sq.ft.) and a 118m Infinity Sky Pool [KB:w7ZFTNAXew2ocdrnCUKr] [KB:PNM4brdFGRYb6oDDlVY2].\n3. **Pavilion Concierge Services**: Bespoke luxury services including housekeeping, private jet/yacht bookings, and property management."
}
```</t>
        </is>
      </c>
    </row>
    <row r="58">
      <c r="A58" s="2" t="inlineStr">
        <is>
          <t>P51</t>
        </is>
      </c>
      <c r="B58" s="2" t="inlineStr">
        <is>
          <t>Katana 2 Residence</t>
        </is>
      </c>
      <c r="C58" s="2" t="n">
        <v>37.4</v>
      </c>
      <c r="D58" s="2" t="inlineStr">
        <is>
          <t>stop</t>
        </is>
      </c>
      <c r="E58" s="2" t="inlineStr">
        <is>
          <t>{
  "answer": "### Katana 2 Residence — Project Details\n\n**Project ID:** Tmo9EmmnZDS8lie97BzS\n\n---\n\n### Project Overview &amp; Key Details\n- **Area:** Uthant, KLCC / Bukit Bintang area (2km from KL City Centre; 3-minute walk / 280m to ISKL) [KB:7K6g7megCnLfz8eBqvLn]\n- **Developer:** UM Land Bhd &amp; Symphony Life Bhd / BSG Group [KB:7K6g7megCnLfz8eBqvLn]\n- **Land Title:** Strata Title [KB:7K6g7megCnLfz8eBqvLn]\n- **Tenure:** Freehold [KB:f6Oqu7V1ozWoUq1sV1ae]\n- **Maintenance Fee:** RM0.435 psf (inclusive of sinking fund) [KB:7K6g7megCnLfz8eBqvLn] *(Updated rate of RM0.54 psf noted in latest sales update [KB:EhnyXVbZkpwT21HwsWj2])* \n- **Total Units:** 40 Units (ultra-low density on ~1 acre) [KB:7K6g7megCnLfz8eBqvLn]\n- **Total Floors / Storeys:** 10 Floors (building height limited due to 53 nearby embassies) [KB:7K6g7megCnLfz8eBqvLn]\n- **Completion / Vacant Possession Date:** 2010 [KB:7K6g7megCnLfz8eBqvLn]\n- **Car Park Allocation:** 3 basement car parks per unit [KB:jY4dbpTt1jBuzxbDj2K8]\n- **Furnishing:** Fully furnished / Partly furnished depending on unit [KB:7K6g7megCnLfz8eBqvLn]\n- **Bank Account / Payment Details:** Not outputted — please request official bank payment instructions directly from D2 sales admin.\n\n---\n\n### Layouts &amp; Unit Availability\n*(Note: A structured `unitTypes` table is not on record in the inventory system; available unit records below are taken directly from the project fact sheet and sales kit listings)*\n\n1. **Designer Loft (Unit A-4-02 / A-3A-02)**\n   - **Size:** 3,541 sq ft [KB:3jfH6m9MXRdEXNOg1cBw]\n   - **Bedrooms:** 4+1 Bedrooms [KB:jY4dbpTt1jBuzxbDj2K8]\n   - **Gross Price (List):** RM4,426,250 [KB:3jfH6m9MXRdEXNOg1cBw]\n   - **Nett Price (SPA):** RM4,276,250 (after RM150,000 discount) [KB:3jfH6m9MXRdEXNOg1cBw]\n   - **Condition:** Partly Furnished / As-is [KB:3jfH6m9MXRdEXNOg1cBw]\n\n2. **Designer Loft (Unit A-3-02)**\n   - **Size:** 3,778 sq ft [KB:3jfH6m9MXRdEXNOg1cBw]\n   - **Bedrooms:** 4+1 Bedrooms\n   - **Gross Price (List):** RM5,100,300 [KB:3jfH6m9MXRdEXNOg1cBw]\n   - **Nett Price (SPA):** RM4,980,000 (after RM120,300 discount) [KB:3jfH6m9MXRdEXNOg1cBw]\n   - **Condition:** Fully Furnished [KB:3jfH6m9MXRdEXNOg1cBw]\n\n3. **Designer Loft (Unit C-7-02)**\n   - **Size:** 3,541 sq ft [KB:jY4dbpTt1jBuzxbDj2K8]\n   - **Bedrooms:** 4+1 Bedrooms [KB:jY4dbpTt1jBuzxbDj2K8]\n   - **Gross / List Price:** RM5,680,000 [KB:jY4dbpTt1jBuzxbDj2K8]\n   - **Nett Price:** Not on record separately\n   - **Condition:** Fully Interior Designed [KB:jY4dbpTt1jBuzxbDj2K8]\n\n4. **Duplex (Unit A-3-01)**\n   - **Size:** 3,800 sq ft [KB:3jfH6m9MXRdEXNOg1cBw]\n   - **Bedrooms:** 4+1 Bedrooms\n   - **Gross Price (List):** RM3,800,000 [KB:3jfH6m9MXRdEXNOg1cBw]\n   - **Nett Price (Owner Nett):** RM3,600,000 [KB:3jfH6m9MXRdEXNOg1cBw]\n   - **Feature:** Penthouse unit with private pool [KB:3jfH6m9MXRdEXNOg1cBw]\n\n5. **Super Triplex Penthouse (Unit A-9-01)**\n   - **Size:** 6,286 sq ft [KB:3jfH6m9MXRdEXNOg1cBw]\n   - **Bedrooms:** 4+1 Bedrooms [KB:jY4dbpTt1jBuzxbDj2K8]\n   - **Gross Price (List):** RM12,257,700 [KB:3jfH6m9MXRdEXNOg1cBw]\n   - **Nett Price (SPA):** RM12,000,000 (after RM257,700 rebate) [KB:3jfH6m9MXRdEXNOg1cBw]\n   - **Condition:** Fully Furnished, Rooftop Private Pool [KB:3jfH6m9MXRdEXNOg1cBw], [KB:jY4dbpTt1jBuzxbDj2K8]\n\n6. **Penthouse (Unit C-10-02)**\n   - **Size:** 6,168 sq ft [KB:jY4dbpTt1jBuzxbDj2K8]\n   - **Bedrooms:** 4+1 Bedrooms [KB:jY4dbpTt1jBuzxbDj2K8]\n   - **Gross / Nett Price:** Not on record (Price on request)\n   - **Feature:** Rooftop Private Pool [KB:jY4dbpTt1jBuzxbDj2K8]\n\n*(Note: Breakdown for individual sold-out units beyond the active available units listed above is not on record)*\n\n---\n\n### Top Reasons to Buy [KB:7K6g7megCnLfz8eBqvLn]\n1. **3-min walk to top international school:** Just 280m down the street from ISKL.\n2. **Exclusive, prestigious neighborhood:** Located in Uthant among affluent families and high-profile neighbors.\n3. **Low-rise privacy:** Capped at 10 storeys due to 53 surrounding foreign embassies.\n4. **High security:** Diplomatic precinct benefits from elevated local security.\n5. **City centre close:** Just 2km from KLCC Twin Towers without skyscraper crowd density.\n6. **Ultra low density:** Only 40 homes spread across ~1 acre of land.\n7. **Spacious layouts:** Units range from 2,500 to 6,000+ sq ft.\n8. **Better value than KLCC:** ~RM1,400 psf vs ~RM1,800 psf in KLCC.\n9. **Fully furnished developer units:** Brand new furniture and appliances included on developer clearance stock.\n10. **Reputable developers:** Built by BSG Group / UM Land / Symphony Life."
}</t>
        </is>
      </c>
    </row>
    <row r="59">
      <c r="A59" s="2" t="inlineStr">
        <is>
          <t>P52</t>
        </is>
      </c>
      <c r="B59" s="2" t="inlineStr">
        <is>
          <t>The Centrix</t>
        </is>
      </c>
      <c r="C59" s="2" t="n">
        <v>22.8</v>
      </c>
      <c r="D59" s="2" t="inlineStr">
        <is>
          <t>stop</t>
        </is>
      </c>
      <c r="E59" s="2" t="inlineStr">
        <is>
          <t>{
  "answer": "Here are the details for **The Centrix** [KB:TII70fkIrxauDrED7Dvs]:\n\n### Layout Details\n*Note: Total gross and nett prices per layout are not on record (pricing on record is a rate of RM1,350 psf).* \n\n- **Studio**: 571 – 868 sq ft | 0 Bedrooms | Gross Price: Not on record | Nett Price: Not on record | Status: Available\n- **1 Bedroom**: 566 – 819 sq ft | 1 Bedroom | Gross Price: Not on record | Nett Price: Not on record | Status: Available\n- **Dual Key**: 593 – 1,039 sq ft | Bedrooms: Not on record | Gross Price: Not on record | Nett Price: Not on record | Status: Available\n- **2 Bedroom**: 718 – 1,015 sq ft | 2 Bedrooms | Gross Price: Not on record | Nett Price: Not on record | Status: Available\n- **3 Bedroom**: 1,010 – 1,187 sq ft | 3 Bedrooms | Gross Price: Not on record | Nett Price: Not on record | Status: Available\n\n---\n\n### Project Information\n- **Area**: Dang Wangi Station (0m), KLCC / Bukit Bintang area, Kuala Lumpur (900m to KLCC) [KB:TII70fkIrxauDrED7Dvs]\n- **Developer**: Multibay Development Sdn Bhd (subsidiary of Golden Eagle Group) [KB:TII70fkIrxauDrED7Dvs] / DAC Development / Intan Sekitar Sdn Bhd (Crest Builder Berhad)\n- **Land Title**: Commercial [KB:TII70fkIrxauDrED7Dvs]\n- **Maintenance Fee**: RM0.44 psf (includes sinking fund)\n- **Tenure**: Leasehold 99 years (starts from completion date; Leasehold 2128) [KB:TII70fkIrxauDrED7Dvs]\n- **Total Units**: 857 units [KB:TII70fkIrxauDrED7Dvs]\n- **Total Floors / Storeys**: 47 storeys [KB:TII70fkIrxauDrED7Dvs]\n- **Completion / Vacant Possession Date**: Target 2nd Half 2029 [KB:TII70fkIrxauDrED7Dvs]\n- **Top Reasons to Buy**: Not on record (check with D2 sales admin)\n- **Furnishing**: Fully furnished (for units on Level 28 and below) [KB:lHD6nKZBM2eGeykiUHsk] / Includes airconds, water heater, kitchen cabinet, hood &amp; hob, wardrobe, fridge, and 2-in-1 washer &amp; dryer\n- **Car Park Allocation**: 645 car parks total (first-come, first-served basis); unit-specific allocation per layout is not on record"
}</t>
        </is>
      </c>
    </row>
    <row r="60">
      <c r="A60" s="2" t="inlineStr">
        <is>
          <t>P53</t>
        </is>
      </c>
      <c r="B60" s="2" t="inlineStr">
        <is>
          <t>Quill Residences KLCC</t>
        </is>
      </c>
      <c r="C60" s="2" t="n">
        <v>22.3</v>
      </c>
      <c r="D60" s="2" t="inlineStr">
        <is>
          <t>stop</t>
        </is>
      </c>
      <c r="E60" s="2" t="inlineStr">
        <is>
          <t>{
  "answer": "### Quill Residences KLCC Details (Project ID: `6Vl2Py196ogTG3seI28U`)\n\n**1. Layouts &amp; Pricing:**\n- **Type S1**\n  - **Size:** 667 sq ft\n  - **Bedrooms:** 1 room, 1 bath, 1 balcony\n  - **Price:** Stated from RM 761,000 (Note: Earlier updates note this layout as sold out [KB:bVtd28Icpk7daEShqRkH])\n  - **Gross Price / Nett Price:** Not on record\n- **Type C3**\n  - **Size:** 732 sq ft\n  - **Bedrooms:** 1 room, 1+1 bath\n  - **Price:** Stated from RM 878,000 (historical range RM 690,000 – RM 820,000 [KB:b6IDzDRC9ayObVIDCzHZ])\n  - **Gross Price / Nett Price:** Not on record\n- **Type C1**\n  - **Size:** 1,367 sq ft\n  - **Bedrooms:** 2 rooms, 2 baths, 2 balconies\n  - **Price:** Stated from RM 1,403,000 (historical range RM 1.32M – RM 1.45M [KB:b6IDzDRC9ayObVIDCzHZ])\n  - **Gross Price / Nett Price:** Not on record\n\n**2. Project Overview:**\n- **Area:** KLCC [KB:p2GQ6Reyry6MKcJZTZw2]\n- **Developer:** BBCC Development Sdn Bhd / JV between UDA Holdings, EcoWorld, and EPF [KB:p2GQ6Reyry6MKcJZTZw2] *(also cited as Andarama SB under Quill Group [KB:UVxPQbugESP6jzWhE2j6])*\n- **Land Title:** Commercial title under HDA [KB:b6IDzDRC9ayObVIDCzHZ]\n- **Maintenance Fee:** RM 0.55 psf excluding sinking fund [KB:p2GQ6Reyry6MKcJZTZw2]\n- **Tenure:** Freehold [KB:p2GQ6Reyry6MKcJZTZw2]\n- **Total Units:** 552 units in 1 block [KB:UVxPQbugESP6jzWhE2j6]\n- **Total Floors / Storeys:** Not on record\n- **Completion / VP Date:** Q2 2023 (VP Completed) [KB:p2GQ6Reyry6MKcJZTZw2]\n- **Furnishing:** Partly furnished with full air-conditioning, full baths, kitchen cabinets, hob &amp; hood, microwave oven, and washing machine [KB:UVxPQbugESP6jzWhE2j6]\n- **Car Park Allocation:** 1 car park per unit [KB:UVxPQbugESP6jzWhE2j6]\n\n**3. Top Reasons to Buy:**\n- Located along prestigious Jalan Sultan Ismail in the KLCC Golden Triangle alongside premier hotels [KB:UVxPQbugESP6jzWhE2j6].\n- Direct integration above Quill City Mall providing immediate retail and dining access [KB:UVxPQbugESP6jzWhE2j6].\n- Prime Freehold tenure in central Kuala Lumpur [KB:p2GQ6Reyry6MKcJZTZw2]."
}</t>
        </is>
      </c>
    </row>
    <row r="61">
      <c r="A61" s="2" t="inlineStr">
        <is>
          <t>P54</t>
        </is>
      </c>
      <c r="B61" s="2" t="inlineStr">
        <is>
          <t>Royal Lexis KL</t>
        </is>
      </c>
      <c r="C61" s="2" t="n">
        <v>23.9</v>
      </c>
      <c r="D61" s="2" t="inlineStr">
        <is>
          <t>stop</t>
        </is>
      </c>
      <c r="E61" s="2" t="inlineStr">
        <is>
          <t>{
  "answer": "Here are the full details on record for **Royal Lexis KL** (Project ID: `dGkfWDGumOb0NDoazfZ3`):\n\n### Layout Breakdown\nAll units feature a private swimming pool [KB:uelnMbxBB9NZC56AoeyZ], [KB:SDjhInEvFAnqZk8nrMEF].\n* **Type A**: 573 sq. ft. | 1 Bedroom, 1 Bathroom | Total 112 units [KB:m7UYL4cZA0xTzLuWXMnq], [KB:uelnMbxBB9NZC56AoeyZ]\n  * **Nett &amp; Gross Price**: Not on record (project starts from RM1,725,000 / ~RM2,900 psf) [KB:m7UYL4cZA0xTzLuWXMnq]\n  * **Status**: Available\n* **Type B**: 802 sq. ft. | 1 Bedroom (2 Beds), 1 Bathroom | Total 70 units [KB:m7UYL4cZA0xTzLuWXMnq], [KB:uelnMbxBB9NZC56AoeyZ]\n  * **Nett &amp; Gross Price**: Not on record\n  * **Status**: Available\n* **Type C**: 1,053 / 1,085 / 1,225 sq. ft. | 2 Bedrooms (Dual Key), 2 Bathrooms | Total 175 units [KB:m7UYL4cZA0xTzLuWXMnq], [KB:uelnMbxBB9NZC56AoeyZ]\n  * **Nett &amp; Gross Price**: Not on record\n  * **Status**: Available\n\n### Project Specifications\n* **Area**: KLCC [KB:JbBcn2BNu1XQPlmfEzYr]\n* **Developer**: KL Metro Group [KB:JbBcn2BNu1XQPlmfEzYr]\n* **Land Title**: Commercial (Non-HDA) [KB:JbBcn2BNu1XQPlmfEzYr]\n* **Maintenance Fee**: RM0.80 psf (includes sinking fund) [KB:JbBcn2BNu1XQPlmfEzYr]\n* **Tenure**: Freehold [KB:JbBcn2BNu1XQPlmfEzYr]\n* **Total Units**: 371 Sky Pool Suites (518 units total including 147 hotel units) [KB:JbBcn2BNu1XQPlmfEzYr], [KB:m7UYL4cZA0xTzLuWXMnq]\n* **Total Floors**: 66 storeys [KB:m7UYL4cZA0xTzLuWXMnq]\n* **Completion / VP Date**: Q4 2029 [KB:JbBcn2BNu1XQPlmfEzYr]\n* **Furnishing**: Fully furnished (hotel-grade finishings) [KB:m7UYL4cZA0xTzLuWXMnq]\n* **Car Park Allocation**: No dedicated owner carpark (automated basement carpark provided for hotel guests) [KB:m7UYL4cZA0xTzLuWXMnq], [KB:SDjhInEvFAnqZk8nrMEF]\n\n### Top Reasons to Buy [KB:SDjhInEvFAnqZk8nrMEF], [KB:5iolpluMm8LOSwn2b6yX]\n1. **Track Record**: Developed by KL Metro Group (creators of Imperial Lexis, Lexis Hibiscus, Grand Lexis).\n2. **Prime Central Location**: Located on Jalan Sultan Ismail beside Monorail Bukit Nanas, near KLCC and LRT Dang Wangi.\n3. **Private Pool Feature**: Signature private swimming pool in every unit.\n4. **Freehold Ownership**: Rare freehold luxury property in KLCC.\n5. **Dual Key Options**: Type C units offer dual-key flexibility for living or rental.\n6. **Iconic Skyline Views**: Select units feature views of Petronas Twin Towers, KL Tower, and Merdeka 118.\n7. **Fully Managed Return Package**: Fully managed by Lexis Hotel Group featuring 3 Years 6% GRR plus 12 Years profit sharing (including F&amp;B and ballroom revenue)."
}</t>
        </is>
      </c>
    </row>
    <row r="62">
      <c r="A62" s="2" t="inlineStr">
        <is>
          <t>P55</t>
        </is>
      </c>
      <c r="B62" s="2" t="inlineStr">
        <is>
          <t>SO Sofitel Residences KLCC</t>
        </is>
      </c>
      <c r="C62" s="2" t="n">
        <v>31.9</v>
      </c>
      <c r="D62" s="2" t="inlineStr">
        <is>
          <t>stop</t>
        </is>
      </c>
      <c r="E62" s="2" t="inlineStr">
        <is>
          <t>{
  "answer": "Here are the full details for **SO Sofitel Residences KLCC** (Project ID: `LFQ1wAO6pY3cjZRfBrFd`):\n\n### Project Overview &amp; Facts\n- **Area:** KLCC [KB:I5UJg9w15gZTcDUedlmC]\n- **Developer:** Oxley Holding (Listed &amp; largest landbank developer in Singapore) [KB:I5UJg9w15gZTcDUedlmC]\n- **Land Title:** Not on record\n- **Tenure:** Freehold [KB:I5UJg9w15gZTcDUedlmC]\n- **Maintenance Fee:** RM1.00 psf (includes Concierge, Valet, Bell, and Towel &amp; Water service at Pool &amp; Gym) [KB:gNiIgucxQt2WLlguJ685]\n- **Total Units:** 590 units [KB:I5UJg9w15gZTcDUedlmC]\n- **Total Floors:** Not on record *(Rooftop pool located on Level 77)* [KB:IMDAerJJCdHY7cra64Jg]\n- **Completion / VP Date:** Target 2025 [KB:I5UJg9w15gZTcDUedlmC]\n- **Furnishing:** Elegantly fully furnished by Pavilion (high-end hotel specifications) [KB:3DZ6328rBRxO4h75FtQn]\n- **Car Park Allocation:** Not on record\n\n---\n\n### Layout &amp; Price Table\n\n| Type | Size | Bedrooms | Nett Price | Gross Price | Status |\n|---|---|---|---|---|---|\n| **Type A1** | 578 sqft | Studio | RM1,243,856 – RM1,784,150 | RM1,554,820 – RM2,099,000 | Available [KB:KqagZI05xis2InM9IBuA] |\n| **Type A2** | 566 sqft | Studio | RM1,212,640 – RM1,778,200 | RM1,515,800 – RM2,092,000 | Available [KB:KqagZI05xis2InM9IBuA] |\n| **Type B1A** | 681 sqft | 1 Bedroom | RM1,525,440 | RM1,906,800 | Available [KB:KqagZI05xis2InM9IBuA] |\n| **Type B2B** | 793 sqft | 1 Bedroom | RM2,350,040 | RM2,398,000 | Available [KB:KqagZI05xis2InM9IBuA] |\n| **Type B2C** | 753 sqft | 1 Bedroom | RM2,267,720 | RM2,314,000 | Available [KB:KqagZI05xis2InM9IBuA] |\n| **Type C1** | 711 sqft | 1+1 Bedroom | RM1,674,400 – RM2,124,150 | RM2,093,000 – RM2,499,000 | Available [KB:KqagZI05xis2InM9IBuA] |\n| **Type C2A** | 815 sqft | 1+1 Bedroom | RM2,090,150 – RM2,323,900 | RM2,459,000 – RM2,734,000 | Available [KB:KqagZI05xis2InM9IBuA] |\n| **Type C3A** | 800 sqft | 1+1 Bedroom | RM2,123,660 | RM2,167,000 | Available [KB:8wI2MQJWZSONvCzlV59I] |\n| **Type D1** | 903 sqft | 2 Bedrooms | RM2,922,360 – RM3,073,280 | RM2,982,000 – RM3,136,000 | Available [KB:8wI2MQJWZSONvCzlV59I] |\n| **Type D3** | 956 sqft | 2 Bedrooms | RM2,557,115 – RM2,988,020 | RM2,691,700 – RM3,049,000 | Available [KB:8wI2MQJWZSONvCzlV59I] |\n| **Type D4A** | 995 sqft | 2 Bedrooms | RM1,719,000 – RM1,852,500 | RM2,292,000 – RM2,470,000 | Available [KB:8wI2MQJWZSONvCzlV59I] |\n| **Type D8B** | 898 sqft | 2 Bedrooms | RM2,415,000 | RM3,018,750 | Available [KB:8wI2MQJWZSONvCzlV59I] |\n| **Type D8C** | 904 sqft | 2 Bedrooms | RM2,439,840 | RM3,049,800 | Available [KB:8wI2MQJWZSONvCzlV59I] |\n| **Type D8D** | 852 sqft | 2 Bedrooms | RM2,334,960 | RM2,918,700 | Available [KB:8wI2MQJWZSONvCzlV59I] |\n| **Type D9A** | 797 sqft | 2 Bedrooms | RM1,934,400 | RM2,418,000 | Available [KB:8wI2MQJWZSONvCzlV59I] |\n\n---\n\n### Top Reasons to Buy\n1. **Hotel Branded Luxury:** One of only 5 hotel branded residences in Malaysia, managed by AccorHotels Group [KB:IMDAerJJCdHY7cra64Jg].\n2. **Prime Address:** Located just 250 meters from PETRONAS Twin Towers and adjacent to 50-acre KLCC Park [KB:IMDAerJJCdHY7cra64Jg].\n3. **Unbeatable Transit Access:** Walking distance to 2 LRT and 2 MRT stations [KB:IMDAerJJCdHY7cra64Jg].\n4. **Highest Rooftop Pool:** Level 77 sky pool offering unmatched views across KL [KB:IMDAerJJCdHY7cra64Jg].\n5. **Bespoke Services:** 24/7 SO/ Concierge and \"Just Say SO\" à la carte services (in-residence dining, housekeeping, SOSpa, personal trainer, limousine service) [KB:IMDAerJJCdHY7cra64Jg].\n6. **Competitive Value:** Lowest entry psf (~RM1,900 psf) among KL hotel branded residences [KB:3DZ6328rBRxO4h75FtQn]."
}</t>
        </is>
      </c>
    </row>
    <row r="63">
      <c r="A63" s="2" t="inlineStr">
        <is>
          <t>P56</t>
        </is>
      </c>
      <c r="B63" s="2" t="inlineStr">
        <is>
          <t>Le Nouvel KLCC</t>
        </is>
      </c>
      <c r="C63" s="2" t="n">
        <v>31.2</v>
      </c>
      <c r="D63" s="2" t="inlineStr">
        <is>
          <t>stop</t>
        </is>
      </c>
      <c r="E63" s="2" t="inlineStr">
        <is>
          <t>{
  "matches": [],
  "answer": "Here are the project details for **Le Nouvel KLCC** [Project ID: `LNn2YqmcN0DChCS6W7Cf`]:\n\n### Project Overview\n- **Area**: KLCC [KB:2bq9qy58uezozhTkxWOA]\n- **Developer**: Hartamaju Sdn Bhd (a subsidiary of Wing Tai Malaysia Sdn Bhd) [KB:fC4XTilPWrOTBNnwJ5Af]\n- **Land Title**: Service Apartment as stated in Strata Title [KB:2bq9qy58uezozhTkxWOA], [KB:fC4XTilPWrOTBNnwJ5Af]\n- **Tenure**: Freehold [KB:2bq9qy58uezozhTkxWOA], [KB:fC4XTilPWrOTBNnwJ5Af]\n- **Total Units**: 195 units (Tower 1 – 78 units, Tower 2 – 117 units) [KB:fC4XTilPWrOTBNnwJ5Af]\n- **Total Floors**: Tower 1 – 47 storeys; Tower 2 – 41 storeys [KB:fC4XTilPWrOTBNnwJ5Af]\n- **Completion / VP Date**: 2017 [KB:2bq9qy58uezozhTkxWOA], [KB:fC4XTilPWrOTBNnwJ5Af]\n- **Maintenance Fee**: RM8.45 per share unit (~RM0.82 psf), excluding 10% sinking fund [KB:9lu8rU26wahAXQD2pl4h]\n- **Furnishing**: Fully fitted / Fully furnished (FF) and Partially furnished (PF) units available [KB:9lu8rU26wahAXQD2pl4h], [KB:w5DEBg7mJzgIyLOcpk7C]\n- **Car Park Allocation**: 2 car bays for standard unit types; 4 car bays for 5-Bedroom units and Penthouses [KB:fC4XTilPWrOTBNnwJ5Af]\n\n---\n\n### Layout &amp; Unit Pricing Details\n*Note: Structured layout table (`unitTypes`) is not on record for this project. The following sizes and available/sold unit price listings are on record from the factsheet and price updates [KB:fC4XTilPWrOTBNnwJ5Af], [KB:w5DEBg7mJzgIyLOcpk7C], [KB:QZCVGmjOpyBuXxonGMS6]:*\n\n**Layout Ranges:**\n- **2-Bedroom**: 1,722 - 1,905 sqft [KB:fC4XTilPWrOTBNnwJ5Af]\n- **3-Bedroom**: 2,110 sqft [KB:fC4XTilPWrOTBNnwJ5Af]\n- **Tower 1**: 2BR, 3BR, 4BR &amp; 5BR Simplex units *(Note: Only selected units in Tower 2 are for sale)* [KB:fC4XTilPWrOTBNnwJ5Af]\n\n**Individual Unit Pricing &amp; Availability:**\n- **Unit 2-15-1** (1,819 sqft | 2BR | Fully Furnished): RM5,300,000 [KB:w5DEBg7mJzgIyLOcpk7C]\n- **Unit 2-15-3A** (1,905 sqft | 2BR | Fully Furnished): **SOLD OUT** [KB:w5DEBg7mJzgIyLOcpk7C]\n- **Unit 2-23A-1** (1,819 sqft | 2BR | Fully Furnished): RM5,300,000 [KB:w5DEBg7mJzgIyLOcpk7C]\n- **Unit 2-23A-3** (1,722 sqft | 2BR | Fully Furnished): RM5,100,000 [KB:w5DEBg7mJzgIyLOcpk7C]\n- **Unit 2-25-1** (1,819 sqft | 2BR | Fully Furnished): **SOLD OUT** [KB:w5DEBg7mJzgIyLOcpk7C]\n- **Unit 2-25-2** (2,110 sqft | 3BR | Fully Furnished): RM6,200,000 [KB:w5DEBg7mJzgIyLOcpk7C]\n- **Unit 2-25-3** (1,722 sqft | 2BR | Fully Furnished): RM5,100,000 [KB:QZCVGmjOpyBuXxonGMS6]\n- **Unit 2-25-3A** (1,905 sqft | 2BR | Fully Furnished): RM5,600,000 [KB:w5DEBg7mJzgIyLOcpk7C]\n- **Unit 2-27-3** (1,722 sqft | 2BR | Fully Furnished): RM5,200,000 [KB:QZCVGmjOpyBuXxonGMS6]\n- **Unit 2-27-3A** (1,905 sqft | 2BR | Fully Furnished): RM5,700,000 [KB:w5DEBg7mJzgIyLOcpk7C]\n- **Unit 2-39-1** (1,819 sqft | 2BR | Partially Furnished): RM5,700,000 [KB:w5DEBg7mJzgIyLOcpk7C]\n- **Unit 2-39-3** (1,722 sqft | 2BR | Partially Furnished): RM5,500,000 [KB:w5DEBg7mJzgIyLOcpk7C]\n- **Unit 2-39-3A** (1,905 sqft | 2BR | Partially Furnished): RM5,900,000 [KB:w5DEBg7mJzgIyLOcpk7C]\n\n- **Nett Price vs. Gross Price Breakdown**: **Not on record** *(only final selling prices are listed above)*.\n\n---\n\n### Top Reasons to Buy\n1. **Prime Location**: Located directly opposite Petronas Twin Towers and Suria KLCC along Jalan Ampang, in the heart of KL's premier commercial and lifestyle district [KB:fC4XTilPWrOTBNnwJ5Af].\n2. **Architectural Masterpiece**: Designed by Pritzker Prize laureate Jean Nouvel, featuring greenery-integrated glass facades and collaborative designs from Hervé Descottes, Patrick Blanc, and Koichiro Ikebuchi [KB:fC4XTilPWrOTBNnwJ5Af], [KB:9lu8rU26wahAXQD2pl4h].\n3. **Ultra-Luxury Facilities**: Dual-level amenities including Level 7 wellness spaces and Level 33A Sky Facilities (Wine Lounge, Cigar Lounge, Sky Dining, Sky Gallery) [KB:9lu8rU26wahAXQD2pl4h].\n4. **Move-in Ready**: Completed development with individual strata titles issued; units sold on an \"as is where is\" basis [KB:9lu8rU26wahAXQD2pl4h]."
}</t>
        </is>
      </c>
    </row>
    <row r="64">
      <c r="A64" s="2" t="inlineStr">
        <is>
          <t>P57</t>
        </is>
      </c>
      <c r="B64" s="2" t="inlineStr">
        <is>
          <t>Star Residences KLCC</t>
        </is>
      </c>
      <c r="C64" s="2" t="n">
        <v>25.2</v>
      </c>
      <c r="D64" s="2" t="inlineStr">
        <is>
          <t>stop</t>
        </is>
      </c>
      <c r="E64" s="2" t="inlineStr">
        <is>
          <t>{
  "answer": "Here are the details for **Star Residences KLCC**:\n\n### Quick Facts &amp; Project Information\n- **Area:** KLCC [KB:gNBi6euFYlef33c88kcV]\n- **Developer:** UM Land Bhd &amp; Symphony Life Bhd [KB:cShueljDqIU2kCdodr05]\n- **Land Title:** Commercial under HDA [KB:cShueljDqIU2kCdodr05]\n- **Tenure:** Freehold [KB:gNBi6euFYlef33c88kcV]\n- **Maintenance Fee:** RM 0.55 psf (including sinking fund) [KB:gNBi6euFYlef33c88kcV] [KB:cShueljDqIU2kCdodr05]\n- **Total Units:** 575 units in Tower 1, 482 units in Tower 2, plus Ascott Tower (Tower 3) [KB:cShueljDqIU2kCdodr05]\n- **Total Floors:** Tower 1 (56 storeys), Tower 2 (57 storeys) [KB:cShueljDqIU2kCdodr05]\n- **Completion / Vacant Possession Date:** 2019/2020 [KB:gNBi6euFYlef33c88kcV] [KB:cShueljDqIU2kCdodr05]\n- **Furnishing:** Partially furnished with complete kitchen, bedroom wardrobes, and full bathrooms [KB:cShueljDqIU2kCdodr05]\n- **Car Park Allocation:** Not on record\n\n### Layouts &amp; Pricing\n- **Per-Layout Table (Size, Bedrooms, Gross/Nett Price &amp; Sold Out Status):** Not on record. (Overall unit sizes range from 625 sq. ft. to 2,972 sq. ft. with price rates between RM 587 and RM 2,400 psf [KB:cShueljDqIU2kCdodr05]).\n\n### Top Reasons to Buy [KB:cShueljDqIU2kCdodr05]\n1. 100,000 sq. ft. of lifestyle hotel facilities including rooftop Jacuzzi with KLCC view.\n2. Walking distance to shopping &amp; business district (KLCC and Avenue K).\n3. Quality finishing interior with celebrity-themed corridors and multiple art &amp; statue decorations.\n4. Easy to rent to professional office tenants within 500m of Star Residences.\n5. Best value for money in KLCC for the quality of finishing, facilities, and location."
}</t>
        </is>
      </c>
    </row>
    <row r="65">
      <c r="A65" s="2" t="inlineStr">
        <is>
          <t>P58</t>
        </is>
      </c>
      <c r="B65" s="2" t="inlineStr">
        <is>
          <t>Jewel by Oxley KLCC</t>
        </is>
      </c>
      <c r="C65" s="2" t="n">
        <v>36.3</v>
      </c>
      <c r="D65" s="2" t="inlineStr">
        <is>
          <t>stop</t>
        </is>
      </c>
      <c r="E65" s="2" t="inlineStr">
        <is>
          <t>{
  "answer": "Here are the full project and layout details for **Jewel by Oxley KLCC** (Project ID: `8hQluB9sj4dNRiEpF6tF`):\n\n### Layout Details\n\n* **Type A1**: 678 sq ft | 1 Bedroom | Nett Price: RM1,634,840 – RM1,676,240 | Gross Price: RM2,043,550 – RM2,095,300 [KB:EbeHdPE2yRGbDGX49R1J]\n* **Type B1**: 678 sq ft | 1 Bedroom | Nett Price: RM1,644,960 – RM1,693,720 | Gross Price: RM2,056,200 – RM2,117,150 [KB:EbeHdPE2yRGbDGX49R1J]\n* **Type B2**: 775 sq ft | 1+1 Bedroom | Nett Price: RM1,601,663 – RM1,936,600 | Gross Price: RM2,135,550 – RM2,420,750 [KB:EbeHdPE2yRGbDGX49R1J]\n* **Type B3**: 754 sq ft | 1 Bedroom | Nett Price: RM1,851,960 – RM1,892,440 | Gross Price: RM2,314,950 – RM2,365,550 [KB:EbeHdPE2yRGbDGX49R1J]\n* **Type B4**: 818 sq ft | 1+1 Bedroom | Nett Price: RM1,701,713 – RM2,062,640 | Gross Price: RM2,268,950 – RM2,578,300 [KB:EbeHdPE2yRGbDGX49R1J]\n* **Type B5**: 1,033 sq ft | 1+1 Bedroom | Nett Price: RM2,091,563 – RM2,469,280 | Gross Price: RM2,788,750 – RM3,086,600 [KB:EbeHdPE2yRGbDGX49R1J]\n* **Type C1**: 958 sq ft | 1+1 Bedroom | Nett Price: RM1,943,213 – RM2,311,040 | Gross Price: RM2,590,950 – RM2,888,800 [KB:EbeHdPE2yRGbDGX49R1J]\n* **Type D1**: 1,277 sq ft | 2 Bedrooms | Nett Price: RM2,564,213 – RM2,996,440 | Gross Price: RM3,418,950 – RM3,745,550 [KB:EbeHdPE2yRGbDGX49R1J, KB:e4a7gK9qaRJysQz0uPDq]\n* **Type D2**: 1,173 sq ft | 2+1 Bedroom | Nett Price: RM2,396,888 – RM2,808,760 | Gross Price: RM3,195,850 – RM3,510,950 [KB:RsxMOA7vxlYJEmhVJ4Pi]\n\n*(Note: None of the recorded layout types are listed as sold out.)*\n\n---\n\n### Project Details\n\n* **Area**: KLCC [KB:gG2Iv0i2pBdBkvbhLoUg]\n* **Developer**: Not on record\n* **Land Title**: Not on record\n* **Maintenance Fee**: RM0.70 psf (inclusive of sinking fund) [KB:gG2Iv0i2pBdBkvbhLoUg]\n* **Tenure**: Freehold [KB:gG2Iv0i2pBdBkvbhLoUg]\n* **Total Units**: 267 serviced residence units [KB:cOy7bahKEaQOOB1Tpabz, KB:EGhq80jfcPAndbiErbI9]\n* **Total Floors**: 49 storeys for Tower 2 (127 storeys across the overall development) [KB:gG2Iv0i2pBdBkvbhLoUg]\n* **Completion / Vacant Possession Date**: Not on record\n* **Furnishing**: Fully furnished\n* **Car Park Allocation**: Not on record\n\n---\n\n### Top Reasons to Buy\n\n1. **Iconic KLCC Address**: Positioned directly next to the Petronas Twin Towers and the 50-acre KLCC Park [KB:bNzV7iwwqDZDFQkBHC8B, KB:cOy7bahKEaQOOB1Tpabz].\n2. **Exclusive Low Density**: Only 267 residential units in Tower 2, ensuring privacy and prestige [KB:cOy7bahKEaQOOB1Tpabz, KB:mHUE9dIlm1Yy1p3P8TeY].\n3. **Green &amp; Award-Winning Design**: Designed by an award-winning architect with certified GreenMark status [KB:bNzV7iwwqDZDFQkBHC8B, KB:cOy7bahKEaQOOB1Tpabz].\n4. **Mixed Development Integration**: Directly connected to 5-star hotel brands (SO/ Sofitel &amp; Langham), signature offices, and luxury retail [KB:cOy7bahKEaQOOB1Tpabz]."
}</t>
        </is>
      </c>
    </row>
    <row r="66">
      <c r="A66" s="2" t="inlineStr">
        <is>
          <t>P59</t>
        </is>
      </c>
      <c r="B66" s="2" t="inlineStr">
        <is>
          <t>Golden Crown Residence</t>
        </is>
      </c>
      <c r="C66" s="2" t="n">
        <v>31.7</v>
      </c>
      <c r="D66" s="2" t="inlineStr">
        <is>
          <t>stop</t>
        </is>
      </c>
      <c r="E66" s="2" t="inlineStr">
        <is>
          <t>{
  "answer": "### Golden Crown Residence — Project Details\n\n- **Area:** Tun Razak Exchange (TRX) [KB:NnMJgcGJ90Bs0P4CBtoG]\n- **Developer:** Multibay Development Sdn Bhd (subsidiary of Golden Eagle Group) [KB:NnMJgcGJ90Bs0P4CBtoG]\n- **Land Title:** Commercial under HDA — Serviced Residence (Master Title: H.S(D) 12160, PT50001, Sek 67) [KB:NnMJgcGJ90Bs0P4CBtoG] [KB:HuF31VZZiKKeEV7f23Pb]\n- **Tenure:** Leasehold till 2111 (developer to renew fresh 99 years) [KB:NnMJgcGJ90Bs0P4CBtoG]\n- **Total Units:** 490 units [KB:NnMJgcGJ90Bs0P4CBtoG]\n- **Total Floors / Storeys:** 60 storeys [KB:NnMJgcGJ90Bs0P4CBtoG]\n- **Completion / Vacant Possession Date:** Targeted Q3 – Q4 2026 (Dec 2026) [KB:NnMJgcGJ90Bs0P4CBtoG] [KB:I1AWH6hb8uG6yjHSQBEq]\n- **Maintenance Fee:** Approx. RM0.80 psf (includes sinking fund) [KB:I1AWH6hb8uG6yjHSQBEq] [KB:67BFRL3jy93mvwYXRd1o]\n- **Car Park Allocation:** 1 car park per unit, EXCEPT 30 units of Type A1 (624 sq ft) from Levels 13–22 (units 2, 3, 6) which have **no car park** [KB:I1AWH6hb8uG6yjHSQBEq] [KB:HuF31VZZiKKeEV7f23Pb]\n- **Furnishing:** Partly furnished — includes kitchen cabinet, hob &amp; hood, 2-in-1 washer &amp; dryer, fridge, microwave/oven, wardrobes for all rooms, storage water heater, shower screen, air-conditioners (living &amp; bedrooms), bathroom mirror with vanity cabinet, and digital lockset [KB:HuF31VZZiKKeEV7f23Pb] [KB:67BFRL3jy93mvwYXRd1o]\n- **Top Reasons to Buy:** Not on record (please check directly with D2 sales admin)\n\n---\n\n### Layout Details\n\n| Layout | Size (sq ft) | Bedrooms &amp; Bathrooms | Gross Price (RM) | Nett Price (RM) | Status |\n|---|---|---|---|---|---|\n| **Type A1** | 624 | 1 Bed, 1 Bath [KB:HuF31VZZiKKeEV7f23Pb] | From RM1,280,000 [KB:67BFRL3jy93mvwYXRd1o] | Not on record | Available |\n| **Type A2** | 732 | 1 Bed, 1 Bath (with balcony) [KB:HuF31VZZiKKeEV7f23Pb] | From RM1,586,000 [KB:67BFRL3jy93mvwYXRd1o] | Not on record | Available |\n| **Type B1/B2** | 926 | 2 Bed, 2 Bath + 1 Utility [KB:HuF31VZZiKKeEV7f23Pb] | From RM1,973,000 [KB:67BFRL3jy93mvwYXRd1o] | Not on record | Available |\n| **Type B3** | 958 | 2 Bed, 2 Bath + 1 Utility [KB:HuF31VZZiKKeEV7f23Pb] | From RM2,066,000 [KB:67BFRL3jy93mvwYXRd1o] | Not on record | Available |\n| **Type C** | 1,023 | 2 Bed, 2 Bath + 1 Utility (Dual Key) [KB:HuF31VZZiKKeEV7f23Pb] | From RM2,179,000 [KB:67BFRL3jy93mvwYXRd1o] | Not on record | Available |\n| **Type D** | 1,238 | 3 Bed, 2 Bath [KB:67BFRL3jy93mvwYXRd1o] | Not on record | Not on record | **Sold Out** [KB:HuF31VZZiKKeEV7f23Pb] [KB:67BFRL3jy93mvwYXRd1o] |\n\n*(Note: Displaying nett price is strictly prohibited by developer guidelines and is not on record; please consult D2 sales admin directly for buyer rebate packages.)*"
}</t>
        </is>
      </c>
    </row>
    <row r="67">
      <c r="A67" s="2" t="inlineStr">
        <is>
          <t>P60</t>
        </is>
      </c>
      <c r="B67" s="2" t="inlineStr">
        <is>
          <t>SWNK Houze @ BBCC (Bukit Bintang City Centre)</t>
        </is>
      </c>
      <c r="C67" s="2" t="n">
        <v>29.5</v>
      </c>
      <c r="D67" s="2" t="inlineStr">
        <is>
          <t>stop</t>
        </is>
      </c>
      <c r="E67" s="2" t="inlineStr">
        <is>
          <t>{
  "answer": "### SWNK Houze @ BBCC (Bukit Bintang City Centre)\n\n#### Project Overview &amp; Key Facts\n- **Area:** Bukit Bintang, KL [KB:Sb1k0zjC9TSc5fVLvU44]\n- **Developer:** BBCC Development Sdn Bhd (JV between UDA Holdings, EcoWorld, and EPF) [KB:Sb1k0zjC9TSc5fVLvU44] [KB:AD8xLLNrQLmRBC2cDBjb]\n- **Land Title:** Commercial under HDA [KB:Sb1k0zjC9TSc5fVLvU44] [KB:AD8xLLNrQLmRBC2cDBjb]\n- **Maintenance Fee:** RM0.66 psf (includes sinking fund) [KB:AD8xLLNrQLmRBC2cDBjb]\n- **Tenure:** Leasehold (till 05.12.2110) [KB:Iz0OWBM4GqZuGgcBOUlU]\n- **Total Units:** 441 units [KB:Sb1k0zjC9TSc5fVLvU44] [KB:Iz0OWBM4GqZuGgcBOUlU]\n- **Total Floors:** 30 storeys [KB:Sb1k0zjC9TSc5fVLvU44]\n- **Completion / Vacant Possession Date:** Q3 2026 / Target 2026 [KB:Sb1k0zjC9TSc5fVLvU44] [KB:Iz0OWBM4GqZuGgcBOUlU]\n- **Top Reasons to Buy:** Not on record (please check with D2 sales admin for marketing materials)\n- **Overall Pricing Rate:** From RM1,300 psf onwards\n\n#### Layout Details\n*Individual total gross/nett prices and layout-specific sold-out statuses are **not on record** (only the overall PSF rate of RM1,300 psf onwards is stated).* \n\n| Layout Type | Size | Bedrooms | Nett Price | Gross Price | Status |\n| :--- | :--- | :--- | :--- | :--- | :--- |\n| Studio | 463 sq. ft. | 0 (Studio) | Not on record | Not on record | Not on record |\n| 1 Bedroom | 549 sq. ft. | 1 Bedroom | Not on record | Not on record | Not on record |\n| 1+1 Bedroom | 657 sq. ft. | 1+1 Bedrooms | Not on record | Not on record | Not on record |\n| Studio Loft | 667 sq. ft. | 0 (Studio Loft) | Not on record | Not on record | Not on record |\n| 2 Bedrooms | 818 sq. ft. | 2 Bedrooms | Not on record | Not on record | Not on record |\n| Dual Key (2 Bedrooms) | 861 sq. ft. | 2 Bedrooms | Not on record | Not on record | Not on record |\n| Dual Key (3 Bedrooms) - Type H | 1,227 sq. ft. (incl. 409 sf terrace) | 3 Bedrooms | Not on record | Not on record | Not on record |\n| Dual Key (3 Bedrooms) - Type F | 1,238 sq. ft. (incl. 301 sf terrace) | 3 Bedrooms | Not on record | Not on record | Not on record |\n\n#### Furnishing &amp; Specification\n- **Upgraded Furnishing Included:** Plaster ceiling with downlights, kitchen cabinet with hob &amp; hood, fridge, washer &amp; dryer, built-in water heater storage system, shower screen &amp; door, digital lockset, wardrobe in master bedroom, air-conditioning units, and vanity top in bathrooms [KB:Iz0OWBM4GqZuGgcBOUlU].\n\n#### Car Park Allocation\n- **Total Allocations:** 249 Accessory Parcel Car Parks, 94 Floating Car Parks, 22 Visitor Car Parks, 2 OKU Car Parks (located Basement 4 to Ground Floor levels)."
}</t>
        </is>
      </c>
    </row>
    <row r="68">
      <c r="A68" s="2" t="inlineStr">
        <is>
          <t>P61</t>
        </is>
      </c>
      <c r="B68" s="2" t="inlineStr">
        <is>
          <t>Times Square 2 Residences Kuala Lumpur</t>
        </is>
      </c>
      <c r="C68" s="2" t="n">
        <v>35</v>
      </c>
      <c r="D68" s="2" t="inlineStr">
        <is>
          <t>stop</t>
        </is>
      </c>
      <c r="E68" s="2" t="inlineStr">
        <is>
          <t>{
  "answer": "### Times Square 2 Residences Kuala Lumpur — Project Details\n\n**General Overview**\n- **Area:** Bukit Bintang, Kuala Lumpur [KB:ex2jQ9oSpHX0YNKfUYoy] [KB:JVcM6xWLFndLrIAbZspi]\n- **Developer:** Berjaya Group / Berjaya Properties [KB:JVcM6xWLFndLrIAbZspi] [KB:YBf2XsCtI8e668lpXmvm]\n- **Land Title:** Commercial, under HDA [KB:JVcM6xWLFndLrIAbZspi]\n- **Tenure:** Freehold [KB:JVcM6xWLFndLrIAbZspi]\n- **Maintenance Fee:** RM 0.73 psf (inclusive of sinking fund) [KB:JVcM6xWLFndLrIAbZspi]\n- **Total Units:** 629 Units [KB:JVcM6xWLFndLrIAbZspi]\n- **Total Floors:** 41 Storeys (1 Tower) [KB:JVcM6xWLFndLrIAbZspi]\n- **Completion / VP Date:** 2028 Q1 [KB:JVcM6xWLFndLrIAbZspi]\n- **Furnishing:** Partial Furnished (includes digital lock, shoe rack cabinet, full kitchen cabinet set, hood &amp; hob, oven, fridge, washer dryer, 2–4 airconds, individual water heater storage, fully-fitted bathroom set) [KB:JVcM6xWLFndLrIAbZspi]\n- **Car Park Allocation:** Units do not come with allocated car park lots (0 allocated per unit). Total 300+ car parks available with season parking rental at RM 300/month [KB:JVcM6xWLFndLrIAbZspi]\n\n---\n\n**Layout Details**\n\n1. **Type A** [KB:JVcM6xWLFndLrIAbZspi] [KB:Y0an5S3XK8p0gPprKwfi]\n   - **Size:** 488 sq ft\n   - **Bedrooms:** 1 Bed, 1 Bath\n   - **Nett Price (Bumi):** From RM 568,090 [KB:Y0an5S3XK8p0gPprKwfi]\n   - **Nett Price (Non-Bumi):** From RM 607,290 [KB:Y0an5S3XK8p0gPprKwfi] (or RM 620,000 [KB:YBf2XsCtI8e668lpXmvm])\n   - **Gross Price:** Not on record\n   - **Availability:** Active / Available (not sold out)\n\n2. **Type B** [KB:JVcM6xWLFndLrIAbZspi] [KB:Y0an5S3XK8p0gPprKwfi]\n   - **Size:** 678 sq ft\n   - **Bedrooms:** 2 Bed, 2 Bath\n   - **Nett Price (Bumi):** From RM 844,626 [KB:Y0an5S3XK8p0gPprKwfi]\n   - **Nett Price (Non-Bumi):** From RM 889,080 [KB:Y0an5S3XK8p0gPprKwfi] (or RM 920,000 [KB:YBf2XsCtI8e668lpXmvm])\n   - **Gross Price:** Not on record\n   - **Availability:** Active / Available (not sold out)\n\n3. **Type C** [KB:JVcM6xWLFndLrIAbZspi] [KB:Y0an5S3XK8p0gPprKwfi]\n   - **Size:** 888 sq ft\n   - **Bedrooms:** 2 Bed, 2+1 Bath (Dual-Key)\n   - **Nett Price (Bumi):** From RM 1,164,153 [KB:Y0an5S3XK8p0gPprKwfi]\n   - **Nett Price (Non-Bumi):** From RM 1,214,580 [KB:Y0an5S3XK8p0gPprKwfi] (or RM 1,250,000 [KB:YBf2XsCtI8e668lpXmvm])\n   - **Gross Price:** Not on record\n   - **Availability:** Active / Available (not sold out)\n\n4. **Type D** [KB:JVcM6xWLFndLrIAbZspi] [KB:Y0an5S3XK8p0gPprKwfi]\n   - **Size:** 1,038 sq ft\n   - **Bedrooms:** 3 Bed, 3 Bath\n   - **Nett Price (Bumi):** From RM 1,518,736 [KB:Y0an5S3XK8p0gPprKwfi]\n   - **Nett Price (Non-Bumi):** From RM 1,598,670 [KB:Y0an5S3XK8p0gPprKwfi] (or RM 1,620,000 [KB:YBf2XsCtI8e668lpXmvm])\n   - **Gross Price:** Not on record\n   - **Availability:** Active / Available (not sold out)\n\n---\n\n**Top Reasons to Buy** [KB:JVcM6xWLFndLrIAbZspi] [KB:YBf2XsCtI8e668lpXmvm] [KB:Y0an5S3XK8p0gPprKwfi]\n1. **Freehold Tenure:** Rare freehold land title in the heart of Bukit Bintang.\n2. **Established Developer:** Developed by Berjaya Properties (Berjaya Group).\n3. **Linked Connections:** Linked to Lalaport, Berjaya Times Square, BBCC &amp; Monorail.\n4. **Rooftop Lifestyle:** Sky Pool &amp; Sky Lounge on Level 41.\n5. **High Rental Appeal:** Airbnb-friendly and pet-friendly development featuring a Starbucks Drive-Through on the ground level."
}</t>
        </is>
      </c>
    </row>
    <row r="69">
      <c r="A69" s="2" t="inlineStr">
        <is>
          <t>P62</t>
        </is>
      </c>
      <c r="B69" s="2" t="inlineStr">
        <is>
          <t>The Manor KLCC</t>
        </is>
      </c>
      <c r="C69" s="2" t="n">
        <v>30.7</v>
      </c>
      <c r="D69" s="2" t="inlineStr">
        <is>
          <t>stop</t>
        </is>
      </c>
      <c r="E69" s="2" t="inlineStr">
        <is>
          <t>{
  "answer": "Here are the project details for **The Manor KLCC** based on D2 project records and knowledge base entries:\n\n### **Project Overview &amp; Key Facts**\n- **Area:** KLCC [KB:oZZ1loSw39twdeHZlaJu]\n- **Developer:** Desaria Property Sdn Bhd [KB:oZZ1loSw39twdeHZlaJu]\n- **Tenure:** Freehold [KB:oZZ1loSw39twdeHZlaJu]\n- **Land Title:** Not on record\n- **Maintenance Fee:** RM0.50 psf [KB:etFBDODCL08HPlvqECiq]\n- **Total Units:** 484 units [KB:oZZ1loSw39twdeHZlaJu]\n- **Total Floors:** 49 storeys [KB:oZZ1loSw39twdeHZlaJu]\n- **Completion / VP Date:** Not on record\n- **Car Park Allocation:** Not on record\n- **Furnishing:** Partially/Fully fitted with VRV ducted air-conditioning, Ariston kitchen appliances (Italy), Duravit sanitaryware, double-glazed windows, marble flooring in living areas, and solid timber flooring in bedrooms [KB:xEEjLcfYuwinVSoozm7k, KB:etFBDODCL08HPlvqECiq]\n\n---\n\n### **Layout Details**\n*Note: A complete per-layout pricing table (`unitTypes`) is not on record in D2 inventory. Overall nett pricing is around RM1,500 – RM1,600 psf [KB:xEEjLcfYuwinVSoozm7k]. Specific gross prices are not on record.*\n\n- **1,070 sq ft (1+1 Bedrooms):** Nett price approx. RM1,500 – RM1,600 psf | Gross price: Not on record | Status: Available [KB:oWEO9AZGxfPkwy07yb0U, KB:xEEjLcfYuwinVSoozm7k]\n- **1,139 sq ft:** Nett price approx. RM1,500 – RM1,600 psf | Gross price: Not on record | Status: Available [KB:dtZzQXZWZRojLLNRtS3j, KB:xEEjLcfYuwinVSoozm7k]\n- **1,322 / 1,323 sq ft (2 Bedrooms):** Nett price approx. RM1,500 – RM1,600 psf | Gross price: Not on record | Status: Available [KB:xEEjLcfYuwinVSoozm7k]\n- **1,926 sq ft (Type B2):** Nett price approx. RM1,500 – RM1,600 psf | Gross price: Not on record | Status: Available [KB:dtZzQXZWZRojLLNRtS3j, KB:xEEjLcfYuwinVSoozm7k]\n- **2,341 sq ft (Suite C):** Nett price approx. RM1,500 – RM1,600 psf | Gross price: Not on record | Status: Available [KB:dtZzQXZWZRojLLNRtS3j, KB:xEEjLcfYuwinVSoozm7k]\n- **2,618 sq ft (Facing KLCC):** Gross price: Not on record | Nett price: Not on record | Status: **Sold Out** (Developer Units) [KB:chl40uHd3DNhzSOxOhYI]\n\n---\n\n### **Top Reasons to Buy** [KB:xEEjLcfYuwinVSoozm7k]\n1. **Competitive Pricing:** RM1,500 – RM1,600 psf nett for a completed brand-new luxury residence.\n2. **Iconic Views:** Unit choices featuring million-dollar views of KLCC.\n3. **High Ceilings:** Extra high ceiling clearance at 11 ft (3.8m) vs the standard 10 ft in most KLCC developments.\n4. **Premium Specifications:** Double-glazed windows, Ariston Italian kitchenware, Duravit fittings, and fully ducted air-conditioning.\n5. **Transit Accessibility:** 350m walk to Conlay MRT Station (1 stop to TRX financial district, park, and Exchange Mall).\n6. **Park &amp; Shopping Access:** 550m walk to the 50-acre KLCC Park with direct access through to Suria KLCC."
}</t>
        </is>
      </c>
    </row>
    <row r="70">
      <c r="A70" s="2" t="inlineStr">
        <is>
          <t>P63</t>
        </is>
      </c>
      <c r="B70" s="2" t="inlineStr">
        <is>
          <t>TRX Residences</t>
        </is>
      </c>
      <c r="C70" s="2" t="n">
        <v>30.8</v>
      </c>
      <c r="D70" s="2" t="inlineStr">
        <is>
          <t>stop</t>
        </is>
      </c>
      <c r="E70" s="2" t="inlineStr">
        <is>
          <t>{"answer":"### Project Details: TRX Residences (Project ID: DFZ9QGqJWkwcAfktHGBK)\n\n- **Area:** Tun Razak Exchange (TRX) [KB:bepVSDm4bZnqSmEEACQm]\n- **Developer:** Lendlease [KB:USdhBw2TdwgZ7kn7RCLT]\n- **Land Title:** Commercial HDA for residential use [KB:USdhBw2TdwgZ7kn7RCLT]\n- **Tenure:** Freehold [KB:bepVSDm4bZnqSmEEACQm]\n- **Total Units:** 896 units [KB:USdhBw2TdwgZ7kn7RCLT]\n- **Total Floors:** Tower 1 — 53 storeys (443 units); Tower 2 — 57 storeys (453 units) [KB:USdhBw2TdwgZ7kn7RCLT]\n- **Completion / Vacant Possession Date:** 2024 / Q2 2024 [KB:bepVSDm4bZnqSmEEACQm] [KB:WGPqB1hyBarSBBVao5vU]\n- **Maintenance Fee:** Estimated RM0.85 psf (RM0.65 psf maintenance + RM0.10 psf sinking fund + RM0.10 psf district management) [KB:MkmTKbe4PspMKjOk7hsn] [KB:WGPqB1hyBarSBBVao5vU]\n- **Furnishing:** Partly furnished with full air-conditioning, Snaidero kitchen cabinets, Smeg hood, hob &amp; microwave oven, refrigerator, water heater, built-in wardrobes, mechanical ventilation, Kohler sanitaryware/full bath, smoke alarm, low-E double glazed windows [KB:MkmTKbe4PspMKjOk7hsn] [KB:WGPqB1hyBarSBBVao5vU]\n- **Car Park Allocation:** \n  - 1-Bedroom &amp; 2-Bedroom units: 1 car park [KB:MkmTKbe4PspMKjOk7hsn]\n  - 3-Bedroom units (&gt;1,345 sq ft): 2 side-by-side car parks [KB:MkmTKbe4PspMKjOk7hsn]\n- **Top Reasons to Buy:** Not on record\n\n---\n\n### Layouts &amp; Pricing Details\n\nA detailed per-layout pricing table (unitTypes) is not on record for this project. Below are the recorded layout configurations:\n\n- **1 Bedroom Layouts:**\n  - Sizes: 474 sq ft, 548 sq ft, 624 sq ft, 700 sq ft, 721 sq ft [KB:MkmTKbe4PspMKjOk7hsn]\n  - Nett Price: Not on record\n  - Gross Price: Not on record\n  - Sold Out Status: Not on record\n\n- **2+1 Bedrooms Layouts:**\n  - Sizes: 850 sq ft, 1,076 sq ft [KB:MkmTKbe4PspMKjOk7hsn]\n  - Nett Price: Not on record\n  - Gross Price: Not on record\n  - Sold Out Status: Not on record\n\n- **3 Bedrooms Layouts:**\n  - Sizes: 1,184 sq ft, 1,216 sq ft, 1,259 sq ft, 1,345 sq ft, 1,625 sq ft, 1,636 sq ft [KB:MkmTKbe4PspMKjOk7hsn]\n  - Nett Price: Not on record\n  - Gross Price: Not on record\n  - Sold Out Status: Not on record\n\n*(Note: Individual gross/nett prices and sold-out status per layout are not on record in the system. Please check with D2 sales admin for unit-level availability and pricing.)*"}</t>
        </is>
      </c>
    </row>
    <row r="71">
      <c r="A71" s="2" t="inlineStr">
        <is>
          <t>P64</t>
        </is>
      </c>
      <c r="B71" s="2" t="inlineStr">
        <is>
          <t>The Oval Kuala Lumpur</t>
        </is>
      </c>
      <c r="C71" s="2" t="n">
        <v>30.1</v>
      </c>
      <c r="D71" s="2" t="inlineStr">
        <is>
          <t>stop</t>
        </is>
      </c>
      <c r="E71" s="2" t="inlineStr">
        <is>
          <t>{
  "answer": "Here are the details on record for **The Oval Kuala Lumpur** (Project ID: `GVRKC920qO8x7jNeemif`):\n\n### Layout Breakdown\nA structured unit-by-unit layout table with individual gross and nett pricing and sold-out status is **not on record** in the database. Below are the main layout types on record:\n\n- **Sky Villa (Level 2–32)**:\n  - **Size**: 3,724 sq. ft. &amp; 3,897 sq. ft.\n  - **Bedrooms**: 3+1 Bedrooms, 5 Bathrooms\n  - **Gross / Nett Price**: Per-unit gross/nett pricing list is **not on record**. Lowest starting price on record is from RM3,734,674. As an example from the sales package, Unit E-25-2 has a list price of RM5,363,048 with a direct 18% discount [KB:Dct1gr5SwYt0T3gCIMK6].\n  - **Sold-out status per unit**: **Not on record** (availability is verified via D2 sales admin).\n- **Mansionary Villa (Level 33–40)**:\n  - **Size**: 7,793 sq. ft. (also listed as ~7,600 sq. ft.) [KB:LzMl9WmFYuxyeMT56fEy]\n  - **Bedrooms**: Ultra-large floorplate (1 unit per floor)\n  - **Gross / Nett Price**: **Not on record**\n  - **Sold-out status per unit**: **Not on record**\n\n---\n\n### Key Project Details\n- **Area**: KLCC [KB:19xhzshzpAJ4MoOcJtd4]\n- **Developer**: Oval Suites Sdn Bhd / GuocoLand Malaysia Berhad (Vendor: Titan Debut Sdn Bhd) [KB:19xhzshzpAJ4MoOcJtd4] [KB:LzMl9WmFYuxyeMT56fEy]\n- **Land Title**: Residential [KB:19xhzshzpAJ4MoOcJtd4]\n- **Tenure**: Freehold [KB:19xhzshzpAJ4MoOcJtd4]\n- **Maintenance Fee**: RM0.55 psf (includes sinking fund) [KB:LzMl9WmFYuxyeMT56fEy] [KB:oT4bAWZzIUNJzmQ9xeCk]\n- **Total Units**: 140 units (70 units per tower) [KB:LzMl9WmFYuxyeMT56fEy]\n- **Total Floors**: 41 storeys per tower (2 towers) [KB:19xhzshzpAJ4MoOcJtd4] [KB:LzMl9WmFYuxyeMT56fEy]\n- **Completion Date**: Completed in 2009 [KB:LzMl9WmFYuxyeMT56fEy]\n- **Furnishing**: Partly furnished (includes full air-conditioning, full kitchen with appliances &amp; island, full wardrobes in all bedrooms, full bathrooms) [KB:NkrwJfjZyOdGoLi9bVtJ]\n- **Car Park Allocation**: 2 car parks per unit (located at basement) [KB:LzMl9WmFYuxyeMT56fEy]\n\n---\n\n### Top Reasons to Buy [KB:LzMl9WmFYuxyeMT56fEy] [KB:oT4bAWZzIUNJzmQ9xeCk] [KB:NkrwJfjZyOdGoLi9bVtJ]\n1. **Prime Location**: Located opposite the 50-acre KLCC Park.\n2. **Transit Connectivity**: Right beside Persiaran KLCC MRT station (2 stops to TRX, 1 stop to Pavilion Bukit Bintang).\n3. **Super Low Density**: Only 140 total units across 2.14 acres (2 units per floor).\n4. **Generous Floorplates**: XL layout sizes (3,897 sq. ft. to 7,793 sq. ft.) with private lift lobbies.\n5. **Attractive Value**: Competitive psf pricing around KLCC Park (~RM900–RM1,000 psf).\n6. **High Quality Finishing**: Premium marble and timber flooring, 11-foot high ceilings, and floor-to-ceiling glass wrap-around walls.\n7. **Rare Title**: Freehold residential title in the KLCC CBD zone.\n8. **Panoramas**: 180° open city skyline views with spacious balconies."
}</t>
        </is>
      </c>
    </row>
    <row r="72">
      <c r="A72" s="2" t="inlineStr">
        <is>
          <t>P65</t>
        </is>
      </c>
      <c r="B72" s="2" t="inlineStr">
        <is>
          <t>The Ritz- Carlton Residences</t>
        </is>
      </c>
      <c r="C72" s="2" t="n">
        <v>24.8</v>
      </c>
      <c r="D72" s="2" t="inlineStr">
        <is>
          <t>stop</t>
        </is>
      </c>
      <c r="E72" s="2" t="inlineStr">
        <is>
          <t>{
  "answer": "### Details for The Ritz-Carlton Residences Kuala Lumpur (Project ID: `gBKQrpT6Gl5MVVateO4O`)\n\n#### Project Overview &amp; Facts\n- **Area:** 105, Jalan Ampang / Jalan Sultan Ismail, KLCC Golden Triangle, Kuala Lumpur [KB:l6gKRlxjYZGfS444uL3A]\n- **Developer:** Not on record\n- **Land Title:** Not on record\n- **Tenure:** Freehold [KB:l6gKRlxjYZGfS444uL3A]\n- **Total Units:** 288 units [KB:l6gKRlxjYZGfS444uL3A]\n- **Total Floors:** Not on record\n- **Completion / VP Date:** Completed [KB:l6gKRlxjYZGfS444uL3A]\n- **Maintenance Fee:** RM2.00 psf inclusive of sinking fund (estimated up to RM2.20 psf in sales updates [KB:PTCOC6OEy2sP1m4GWStb])\n- **Furnishing:** Fully ID furnished (semi-furnished options available at RM400k–RM600k lower)\n- **Car Park Allocation:** Not on record for standard units (4 car parks for Penthouse Alisha, 5 car parks for Penthouse Cassandra [KB:MkHt1grfujYGNaY13BkK])\n\n#### Layouts, Sizes &amp; Pricing\n- **Per-Layout Breakdown:** A detailed layout-by-layout table (with individual nett and gross prices or sold-out status per unit type) is **not on record**.\n- **General Unit Sizes:** 1-bedroom to 2-bedroom units range from 1,023 sq. ft. to 2,142 sq. ft.\n- **Penthouse Layouts (on record) [KB:MkHt1grfujYGNaY13BkK]:**\n  - **Penthouse Alisha:** 2,960 sq. ft. | 4 Bedrooms | Bare unit from RM9,755,800 | Fully furnished from RM10,809,000 | 4 Car Parks\n  - **Penthouse Cassandra:** 4,284 sq. ft. | 4 Bedrooms | Bare unit from RM13,946,000 | Fully furnished from RM15,640,000 | 5 Car Parks\n- **Sales Discount Package (on record) [KB:8dddhdqqdBJDCxBpsOyU]:**\n  - Type A, D, F, G, H: 10% discount\n  - Type B, C, E: 5% to 6% discount\n\n#### Top Reasons to Buy\n1. **Prestigious KLCC Location:** Situated in the Golden Triangle on Jalan Sultan Ismail with immediate access to KLCC, fine dining, and financial hubs.\n2. **Legendary Ritz-Carlton Service:** Managed with 24/7 concierge, doorman, and valet/jockey service directly by Ritz-Carlton hospitality.\n3. **Ultra-Luxe Furnishings &amp; Features:** Italian marble kitchens, Gaggenau &amp; Bosch appliances, double-glazed Low-E windows, and Hansgrohe sanitary fittings.\n4. **Exclusive Lifestyle Perks:** Daily complimentary afternoon lounge service (coffee, tea &amp; dessert) for residents; one of only five hotel residences in Kuala Lumpur."
}</t>
        </is>
      </c>
    </row>
    <row r="73">
      <c r="A73" s="2" t="inlineStr">
        <is>
          <t>P66</t>
        </is>
      </c>
      <c r="B73" s="2" t="inlineStr">
        <is>
          <t>The Stride Office @ BBCC</t>
        </is>
      </c>
      <c r="C73" s="2" t="n">
        <v>23.9</v>
      </c>
      <c r="D73" s="2" t="inlineStr">
        <is>
          <t>stop</t>
        </is>
      </c>
      <c r="E73" s="2" t="inlineStr">
        <is>
          <t>{
  "answer": "Here are the details for **The Stride Office @ BBCC** (Project ID: `8vxV90uXgjCKUvmJKQT7`):\n\n### Project Overview\n- **Area:** Bukit Bintang, KL [KB:T4MYH11fGH7gD25IzrJg]\n- **Developer:** BBCC Development Sdn Bhd (JV between UDA Holdings, EcoWorld, and EPF) [KB:T4MYH11fGH7gD25IzrJg]\n- **Land Title:** Strata Office [KB:T4MYH11fGH7gD25IzrJg]\n- **Tenure:** Freehold\n- **Total Units:** 276 strata office units [KB:T4MYH11fGH7gD25IzrJg]\n- **Total Floors / Storeys:** 46 Storeys [KB:T4MYH11fGH7gD25IzrJg]\n- **Maintenance Fee:** Not on record\n- **Completion / Vacant Possession Date:** Not on record\n- **Furnishing:** Not on record\n- **Car Park Allocation:** Not on record\n- **Top Reasons to Buy:** Not on record\n\n### Layouts &amp; Pricing\n- **Per-Layout Table:** A per-layout table (`unitTypes`) is not on record for this project.\n- **Bedrooms:** 0 (Commercial Office Suites)\n- **Nett &amp; Gross Price:** Not on record\n\nFor unconfirmed items such as maintenance fees, car park allocations, and top reasons to buy, please check with D2 sales admin directly."
}</t>
        </is>
      </c>
    </row>
    <row r="74">
      <c r="A74" s="2" t="inlineStr">
        <is>
          <t>P67</t>
        </is>
      </c>
      <c r="B74" s="2" t="inlineStr">
        <is>
          <t>Rimbun Saujana Residency</t>
        </is>
      </c>
      <c r="C74" s="2" t="n">
        <v>28.9</v>
      </c>
      <c r="D74" s="2" t="inlineStr">
        <is>
          <t>stop</t>
        </is>
      </c>
      <c r="E74" s="2" t="inlineStr">
        <is>
          <t>{
  "answer": "Here are the full details for **Rimbun Saujana Residency** (Project ID: `gxA6UXHk7dRuQToxKwP4`):\n\n### Project Overview\n- **Area:** Shah Alam, Selangor [KB:wQTTBN86MwYJlxvAdZpc]\n- **Developer:** Saujana Development Sdn Bhd [KB:wQTTBN86MwYJlxvAdZpc]\n- **Land Title:** Residential [KB:wQTTBN86MwYJlxvAdZpc]\n- **Tenure:** Freehold [KB:wQTTBN86MwYJlxvAdZpc]\n- **Maintenance Fee:** RM0.38 psf inclusive of sinking fund [KB:wQTTBN86MwYJlxvAdZpc]\n- **Total Units:** 336 units [KB:eAxh96uFbWzHSnBR9ZEC]\n- **Total Floors:** 11 storeys (13 levels including parking) [KB:eAxh96uFbWzHSnBR9ZEC]\n- **Completion / Vacant Possession Date:** April 2027 [KB:wQTTBN86MwYJlxvAdZpc]\n- **Car Park Allocation:** Not on record (Car parks are located at Level LG &amp; G, but per-unit allocation counts are not specified) [KB:eAxh96uFbWzHSnBR9ZEC]\n- **Top Reasons to Buy:** Not on record\n\n---\n\n### Layout Details &amp; Pricing\nOverall price range on record: **Gross RM1,055,800 to RM1,459,800**.\n\n- **Type A1:** 1,173 sq.ft | 2 Bedrooms, 2 Bathrooms (with Balcony)\n- **Type A2:** 1,173 sq.ft | 2 Bedrooms, 2 Bathrooms (with Lanai)\n  - *Sample pricing on record (2-Bedroom):* SPA Gross Price RM1,055,800 | Nett Price RM1,003,010 [KB:FNOXa13ikVaIvthu4Yu1]\n- **Type B1:** 1,432 sq.ft | 3 Bedrooms, 3 Bathrooms (with Balcony)\n- **Type B2:** 1,432 sq.ft | 3 Bedrooms, 3 Bathrooms (with Lanai)\n  - *Sample pricing on record (Type B2):* SPA Gross Price RM1,189,800 | Nett Price RM1,110,310 [KB:FNOXa13ikVaIvthu4Yu1]\n- **Type C1:** 1,894 sq.ft | 3+1 Bedrooms, 3 Bathrooms (with Balcony)\n- **Type C2:** 1,894 sq.ft | 3+1 Bedrooms, 3 Bathrooms (with Lanai)\n  - *Sample pricing on record (Type C2):* SPA Gross Price RM1,441,800 – RM1,443,800 | Nett Price RM1,369,710 – RM1,371,610 [KB:FNOXa13ikVaIvthu4Yu1] [KB:THYiTTIM1oVt1GQUGmkD]\n\n*(Note: Specific layout-by-layout gross/nett price lists beyond the sample unit transactions above are not on record. None of the layouts are marked sold out.)*\n\n---\n\n### Furnishing\nUnits come **Semi-Furnished** [KB:1p5m5PVqcF99EuLYTryJ] including:\n- Entrance grille\n- Kitchen top &amp; bottom cabinets with kitchen island\n- Hood, hob, microwave, and oven\n- Air-conditioners (Living area &amp; bedrooms)\n- Fan fittings (Living &amp; Dining area)\n- Shower screens, mirrors, and storage cabinets in bathrooms\n- Washing machine and clothes dryer\n- Storage cabinet &amp; hot water system"
}</t>
        </is>
      </c>
    </row>
    <row r="75">
      <c r="A75" s="2" t="inlineStr">
        <is>
          <t>P68</t>
        </is>
      </c>
      <c r="B75" s="2" t="inlineStr">
        <is>
          <t>Luminar Residence Subang by BRDB</t>
        </is>
      </c>
      <c r="C75" s="2" t="n">
        <v>25.8</v>
      </c>
      <c r="D75" s="2" t="inlineStr">
        <is>
          <t>stop</t>
        </is>
      </c>
      <c r="E75" s="2" t="inlineStr">
        <is>
          <t>{
  "answer": "### Luminar Residence Subang by BRDB — Full Details\n\n**Key Project Information**\n- **Area:** Subang Jaya [KB:QRd9cyypsHICbTvqWH0S]\n- **Developer:** BRDB (BSC, 111 Menerung, Miranda, etc.) [KB:QRd9cyypsHICbTvqWH0S]\n- **Land Title:** Commercial HDA [KB:QRd9cyypsHICbTvqWH0S]\n- **Tenure:** Freehold [KB:QRd9cyypsHICbTvqWH0S]\n- **Maintenance Fee:** Est. RM0.38 psf (inclusive of sinking fund) [KB:QRd9cyypsHICbTvqWH0S]\n- **Total Units:** 751 units [KB:QRd9cyypsHICbTvqWH0S]\n- **Total Floors:** 47 floors (Tower A: 47 floors, 358 units; Tower B: 47 floors, 393 units) [KB:OPTDiEkM4geuqbyLrNHG]\n- **Completion / Vacant Possession Date:** Q4 2029 (54 months on SPA) [KB:QRd9cyypsHICbTvqWH0S]\n\n**Layout Details &amp; Car Park Allocation** [KB:QRd9cyypsHICbTvqWH0S]\n- **Type A:** 549 sqft | 1+1 Bedroom, 1 Bathroom | Nett Price: RM411,000 – RM466,000 | Gross Rate: RM847 psf | Car Park: 1–2 CP | Status: Available (Not sold out)\n- **Type B:** 721 sqft | 1+1 Bedroom, 1 Bathroom | Nett Price: RM492,000 – RM566,000 | Gross Rate: RM780 psf | Car Park: 2 CP | Status: Available (Not sold out)\n- **Type C:** 872 sqft | 2 Bedrooms, 2 Bathrooms | Nett Price: RM575,000 – RM680,000 | Gross Rate: RM780 psf | Car Park: 2 CP | Status: Available (Not sold out)\n- **Type D:** 1,076 sqft | 2+1 Bedrooms, 2 Bathrooms | Nett Price: RM680,000 – RM749,000 | Gross Rate: RM700 psf | Car Park: 2 CP | Status: Available (Not sold out)\n- **Type E:** 1,389 sqft | 3 Bedrooms, 2 Bathrooms | Nett Price: RM885,000 – RM977,000 | Gross Rate: RM700 psf | Car Park: 3 CP | Status: Available (Not sold out)\n\n**Furnishing Package** [KB:JttJvavoWcOFZbsnj2I2]\n- **All Layouts (Types A, B, C, D, E):** Digital lockset, air-conditioners (living &amp; bedrooms except study), bathroom fittings &amp; instant water heater, washer cum dryer.\n- **Types A, B &amp; C only:** Kitchen cabinet, hood &amp; hob, fridge, microwave (or cash rebate option: Type A RM15k, Type B RM20k, Type C RM30k).\n\n**Top Reasons to Buy** [KB:Jg44zhi5b2Fm2S2aMQXR]\n1. **Established Developer:** Developed by BRDB, the renowned developer behind BSC, One Menerung, 111 Menerung, Miranda Hill, and Senja.\n2. **Freehold Mixed Development:** Suitable for both own-stay and investment.\n3. **Pet-Friendly Residence:** Features 3 public parks right at your doorstep.\n4. **Direct Highway Connection:** Own dedicated ready-to-use link bridge in and out from Federal Highway.\n5. **Surrounding Amenities:** Surrounded by shopping malls, education hubs, healthcare centers, and public parks.\n6. **Attractive Entry Pricing:** Phase 1 release with room for capital appreciation (prices under RM800k for key units).\n7. **Walkability &amp; Greenery:** Walkable to retail, F&amp;B, and 1.9 acres of dedicated lush greenery."
}</t>
        </is>
      </c>
    </row>
    <row r="76">
      <c r="A76" s="2" t="inlineStr">
        <is>
          <t>P69</t>
        </is>
      </c>
      <c r="B76" s="2" t="inlineStr">
        <is>
          <t>Accent PJ</t>
        </is>
      </c>
      <c r="C76" s="2" t="n">
        <v>29.4</v>
      </c>
      <c r="D76" s="2" t="inlineStr">
        <is>
          <t>stop</t>
        </is>
      </c>
      <c r="E76" s="2" t="inlineStr">
        <is>
          <t>{
  "answer": "Here are the full details for **Accent PJ** based on D2's project record:\n\n### Project Overview &amp; Key Facts\n- **Area:** Section 13, Petaling Jaya [KB:bgoRxVgHReZ8Gl0baKh4]\n- **Developer:** Avaland Berhad (Ayala Land Group) [KB:bgoRxVgHReZ8Gl0baKh4]\n- **Land Title:** Commercial HDA [KB:bgoRxVgHReZ8Gl0baKh4]\n- **Tenure:** Leasehold [KB:bgoRxVgHReZ8Gl0baKh4]\n- **Maintenance Fee:** RM0.45 – RM0.55 psf [KB:bgoRxVgHReZ8Gl0baKh4]\n- **Total Units:** 231 units [KB:efk56G9FmbWycBptJKuK]\n- **Total Floors:** 38 storeys (1 tower) [KB:efk56G9FmbWycBptJKuK]\n- **Completion / VP Date:** Estimated 2030 [KB:bgoRxVgHReZ8Gl0baKh4]\n\n---\n\n### Layouts &amp; Pricing\n- **Per-Layout Table (Sizes, Bedrooms, Nett Price, Gross Price, Sold-Out Status):** **Not on record.** (A per-layout unit breakdown table is not on record for this project. The project offers unit sizes of approximately 1,500 sqft and 1,880 sqft [KB:xSDM5nqf680elnZclQ7A]).\n- **Indicative Nett Price per PSF:**\n  - Low Zone (Levels 9–18): ~RM900 – RM920 psf [KB:7oxjFSGSb6wE28tDQeCU]\n  - Mid Zone (Levels 19–28): ~RM930 – RM935 psf [KB:7oxjFSGSb6wE28tDQeCU]\n  - High Zone (Levels 29–37): ~RM950 psf [KB:7oxjFSGSb6wE28tDQeCU]\n- **Gross Price per Layout:** **Not on record.**\n\n---\n\n### Furnishing\n- Air-conditioning provided for living area and all bedrooms.\n- Storage water heater for master bathroom (Type A &amp; B; Type A master bath includes bathtub and his &amp; hers vanity).\n- Fitted with Roca sanitary ware [KB:ZcYLsou3Ovp58QwVXT71].\n- Full furnishing package options: **Not on record.**\n\n---\n\n### Car Park Allocation\n- **Standard Allocation:** 2–3 car parks per unit (single / tandem options) [KB:efk56G9FmbWycBptJKuK].\n- **Additional Car Parks:** Single bay at RM75,000; Tandem bay at RM38,000 [KB:efk56G9FmbWycBptJKuK].\n\n---\n\n### Top 10 Reasons to Buy [KB:ZcYLsou3Ovp58QwVXT71, KB:xSDM5nqf680elnZclQ7A]\n1. **Backed by Major Developer:** Avaland Berhad (part of Ayala Land Group from the Philippines).\n2. **Strong Price Growth Track Record:** Proven track record with benchmark projects like Aetas Damansara.\n3. **Trusted Sanitary Ware:** Quality Roca bathroom fittings.\n4. **Private Lift Lobby:** Every single unit comes with a private lift lobby.\n5. **Low Density &amp; Ample Facilities:** 231 units on 2.17 acres (106 units/acre) with 49,500 sq ft of facilities.\n6. **Semi-D Corner Layouts:** Every unit is positioned as a corner unit for better airflow and natural light.\n7. **Rare Large Family Layouts:** Offers rare larger sizes in PJ (1,500 sf &amp; 1,880 sf).\n8. **Award-Winning Architect:** Designed by WDA Architects.\n9. **Proper Side-by-Side Car Parks:** 2–3 car parks with side-by-side parking options.\n10. **Prime Access &amp; Location:** Situated right next to Jaya 33 with fast, direct access to the Federal Highway.\n\n*For official booking procedures and client payment details, please consult D2 sales admin directly.*"
}</t>
        </is>
      </c>
    </row>
    <row r="77">
      <c r="A77" s="2" t="inlineStr">
        <is>
          <t>P70</t>
        </is>
      </c>
      <c r="B77" s="2" t="inlineStr">
        <is>
          <t>26 Araville PJ</t>
        </is>
      </c>
      <c r="C77" s="2" t="n">
        <v>34.5</v>
      </c>
      <c r="D77" s="2" t="inlineStr">
        <is>
          <t>stop</t>
        </is>
      </c>
      <c r="E77" s="2" t="inlineStr">
        <is>
          <t>{
  "answer": "Here are the full project details for **26 Araville PJ**:\n\n### Layout &amp; Per-Unit Pricing\n- **Layout Price Table**: Not on record (the detailed per-layout pricing table `unitTypes` is empty in the system record).\n- **General Unit Specs**: 3-Storey Gated &amp; Guarded, 5+1 Bedrooms, 6 Bathrooms, Built-up area of 3,665 sqft (24' x 55') [KB:CVTN5o6N48Xa486jHiBy, KB:tHP5FqNmvnvgXlfR5QcF].\n- **Nett Price**: Not on record.\n- **Gross Price**: Not on record.\n- **Sold Out Status per Layout**: Not on record.\n\n### Project Information &amp; Facts\n- **Area**: Petaling Jaya (Jalan Masjid, near Pelangi Utama Condominium) [KB:Zi3aq2Z9E7rllWFKUH1X, KB:tHP5FqNmvnvgXlfR5QcF]\n- **Developer**: Pujangga Budiman [KB:Zi3aq2Z9E7rllWFKUH1X, KB:tHP5FqNmvnvgXlfR5QcF]\n- **Land Title**: Strata [KB:Zi3aq2Z9E7rllWFKUH1X, KB:tHP5FqNmvnvgXlfR5QcF]\n- **Maintenance Fee**: Est. RM0.22 psf (approx. RM800 - RM1,000/month) [KB:Zi3aq2Z9E7rllWFKUH1X, KB:tHP5FqNmvnvgXlfR5QcF]\n- **Tenure**: Leasehold till 10 March 2118 (94 years remaining as of 2024) [KB:Zi3aq2Z9E7rllWFKUH1X, KB:tHP5FqNmvnvgXlfR5QcF]\n- **Total Units**: 26 units only [KB:Zi3aq2Z9E7rllWFKUH1X, KB:CVTN5o6N48Xa486jHiBy, KB:tHP5FqNmvnvgXlfR5QcF]\n- **Total Floors**: 3 Storeys [KB:CVTN5o6N48Xa486jHiBy]\n- **Completion / Vacant Possession Date**: Estimated Q4 2024 / Q1 2025 [KB:Zi3aq2Z9E7rllWFKUH1X, KB:CVTN5o6N48Xa486jHiBy, KB:tHP5FqNmvnvgXlfR5QcF]\n- **Car Park Allocation**: 2 Carparks [KB:CVTN5o6N48Xa486jHiBy]\n\n### Furnishing Provided\n- Air-conditioning system (piping only) [KB:tHP5FqNmvnvgXlfR5QcF]\n- Solar water heater with 2 nos. stainless steel water tanks (275 gal each) [KB:tHP5FqNmvnvgXlfR5QcF]\n- Home security alarm system [KB:tHP5FqNmvnvgXlfR5QcF]\n- Toilet fittings (Johnson Suisse) [KB:tHP5FqNmvnvgXlfR5QcF]\n\n### Top Reasons to Buy\n- Low-density development (26 units only) [KB:Zi3aq2Z9E7rllWFKUH1X, KB:tHP5FqNmvnvgXlfR5QcF]\n- Gated &amp; guarded community with garden greenery [KB:CVTN5o6N48Xa486jHiBy, KB:tHP5FqNmvnvgXlfR5QcF]\n- Prime location with quick access to major highways, only 3 traffic lights (2km) to 1 Utama Shopping Centre [KB:tHP5FqNmvnvgXlfR5QcF]\n- Proximity to upcoming LRT 3 Kayu Ara station [KB:tHP5FqNmvnvgXlfR5QcF]\n- Close to top international schools (The British International School at 1.5km, St. Joseph Institution International School at 3.6km) [KB:tHP5FqNmvnvgXlfR5QcF]"
}</t>
        </is>
      </c>
    </row>
    <row r="78">
      <c r="A78" s="2" t="inlineStr">
        <is>
          <t>P71</t>
        </is>
      </c>
      <c r="B78" s="2" t="inlineStr">
        <is>
          <t>The Atera, PJ by Paramount Property</t>
        </is>
      </c>
      <c r="C78" s="2" t="n">
        <v>22.4</v>
      </c>
      <c r="D78" s="2" t="inlineStr">
        <is>
          <t>stop</t>
        </is>
      </c>
      <c r="E78" s="2" t="inlineStr">
        <is>
          <t>{
  "answer": "Here are the project details for **The Atera, PJ by Paramount Property**:\n\n### Layout Details\n- **Type A**: Not for sale [KB:NveeC35MLodRahgNhBKu]\n- **Type B**: 775 sq ft | 2 Bedrooms, 2 Bathrooms | Nett Price: Not on record | Gross Price: Not on record (Indicative rate: RM780 – RM820 psf) [KB:NveeC35MLodRahgNhBKu]\n- **Type C**: 1,022 sq ft | 3 Bedrooms, 2 Bathrooms | Nett Price: Not on record | Gross Price: Not on record (Indicative rate: RM780 – RM820 psf) [KB:NveeC35MLodRahgNhBKu]\n- **Type D**: 1,420 sq ft | 4 Bedrooms, 3 Bathrooms | Nett Price: Not on record | Gross Price: Not on record (Indicative rate: RM780 – RM820 psf) [KB:NveeC35MLodRahgNhBKu]\n\n### Project Specifications\n- **Area**: Petaling Jaya [KB:vH0okhgjBMEoZL63AlUw]\n- **Developer**: Paramount Properties (listed developer with 40+ years experience) [KB:vH0okhgjBMEoZL63AlUw]\n- **Land Title**: Commercial under HDA [KB:vH0okhgjBMEoZL63AlUw]\n- **Tenure**: Leasehold (to be renewed fresh 99 years by 2029) [KB:vH0okhgjBMEoZL63AlUw]\n- **Maintenance Fee**: RM0.32 psf (inclusive of sinking fund) [KB:vH0okhgjBMEoZL63AlUw]\n- **Total Units**: Tower 1 (Phase 1): 676 units; Tower 2 (Phase 2): 788 units; Tower 3 (Phase 3): Future high-rise development [KB:NveeC35MLodRahgNhBKu]\n- **Total Floors**: Tower 1: 48 stories; Tower 2: 52 stories [KB:NveeC35MLodRahgNhBKu]\n- **Completion / Vacant Possession Date**: End of 2029 [KB:vH0okhgjBMEoZL63AlUw]\n- **Furnishing**: Partly furnished (dry kitchen cabinets top &amp; bottom, melamine kitchen top, cooking hood &amp; hob, bathroom shower screen, instant water heater, living room air-conditioner, master bedroom air-conditioner)\n- **Car Park Allocation**: 1–2 car parks per unit [KB:NveeC35MLodRahgNhBKu]\n- **Top Reasons to Buy**: Not on record"
}</t>
        </is>
      </c>
    </row>
    <row r="79">
      <c r="A79" s="2" t="inlineStr">
        <is>
          <t>P72</t>
        </is>
      </c>
      <c r="B79" s="2" t="inlineStr">
        <is>
          <t>Anyara Hills</t>
        </is>
      </c>
      <c r="C79" s="2" t="n">
        <v>19.9</v>
      </c>
      <c r="D79" s="2" t="inlineStr">
        <is>
          <t>stop</t>
        </is>
      </c>
      <c r="E79" s="2" t="inlineStr">
        <is>
          <t>```json
{
  "answer": "Here are the project details for **Anyara Hills** (Project ID: `ypsQ16qbU1J6OvRjOUj1`):\n\n### **Layout Details**\n* **Layout Table:** Not on record. Anyara Hills consists of individual 1-acre homestead/resort land plots (minimum 1-acre / ~43,560 sq ft per lot with a footprint allowance of 20% of land size [KB:szGvO53EFUCcxFk3pkia]). Specific unit layouts, bedroom counts, nett prices, and gross prices per unit type are not on record.\n\n### **Project Specifications**\n* **Area:** Semenyih [KB:lcoAvNQusTRmeGYoxghX]\n* **Developer:** KHK Land [KB:lcoAvNQusTRmeGYoxghX]\n* **Land Title:** Agriculture land, Individual title [KB:lcoAvNQusTRmeGYoxghX]\n* **Maintenance Fee:** RM2,500 per month [KB:2URqRFmnTI2O0U8sGyxL] (Includes 2 years free maintenance after completion [KB:HEjm01yJq593PCjeKqTx]; fee offset available via Durian Rewards [KB:cNMa7oti6ri0zqaqDoBR])\n* **Tenure:** Freehold [KB:lcoAvNQusTRmeGYoxghX]\n* **Total Units:** 428 exclusive 1-acre lots across 584 acres [KB:lcoAvNQusTRmeGYoxghX]\n* **Total Floors:** Not on record\n* **Completion / Vacant Possession Date:** Phase 1 currently starting to handover [KB:szGvO53EFUCcxFk3pkia] (Exact overall completion date not specified on record [KB:lcoAvNQusTRmeGYoxghX])\n* **Furnishing:** Not on record\n* **Car Park Allocation:** Not on record (Custom home builds on private land plots allow for bespoke car park / luxury garage designs [KB:cNMa7oti6ri0zqaqDoBR])\n\n### **Top Reasons to Buy [KB:szGvO53EFUCcxFk3pkia]**\n1. **Exclusive Low-Density Masterplan:** 584 acres of freehold land featuring minimum 1-acre plots with over 70% wide open greenery and views of Banjaran Titiwangsa.\n2. **Unmatched High-End Security:** 24/7 gated and guarded security with armed guards, 200+ CCTVs, a 12-ft double security wall with electric fencing, and an autonomous drone patrolling system.\n3. **Resort-Style Amenities:** Features natural hot springs, a helicopter pad, 8 private lakes, an 8.2km jogging track, and unique event &amp; dining spaces [KB:szGvO53EFUCcxFk3pkia, KB:cNMa7oti6ri0zqaqDoBR].\n4. **Strategic Connectivity:** Located 25 minutes from KL City Centre via new bypass road."
}
```</t>
        </is>
      </c>
    </row>
    <row r="80">
      <c r="A80" s="2" t="inlineStr">
        <is>
          <t>P73</t>
        </is>
      </c>
      <c r="B80" s="2" t="inlineStr">
        <is>
          <t>Yanu Hills @ Bon Estates</t>
        </is>
      </c>
      <c r="C80" s="2" t="n">
        <v>27.8</v>
      </c>
      <c r="D80" s="2" t="inlineStr">
        <is>
          <t>stop</t>
        </is>
      </c>
      <c r="E80" s="2" t="inlineStr">
        <is>
          <t>{
  "matches": [],
  "answer": "Here are the details for **Yanu Hills @ Bon Estates** based on our project records and knowledge base:\n\n### Layout &amp; Pricing Details\n- **Per-Layout Table:** Not on record (no individual layout breakdown table is stored).\n- **Built-Up Size:** 6,686 – 8,057 sq.ft. (Land size: 6,631 – 11,184 sq.ft.) [KB:J3ZGNkj9jeWKiMqwX5Nw, KB:XZkGV2oVRL3pv4W5sw9Y]\n- **Bedrooms:** 5 bedrooms (all en-suite) [KB:XZkGV2oVRL3pv4W5sw9Y]\n- **Nett Price:** From RM5,700,000 (after 5% discount) [KB:XZkGV2oVRL3pv4W5sw9Y]\n- **Gross Price:** Not on record per layout.\n\n### Project Overview\n- **Area:** Taman Nadayu, Melawati, Selangor [KB:1WZCCWkEm5w5M57mfdNw, KB:VmS6RYBIEEdnxFCef8Nf]\n- **Developer:** Bon Estates (Bon Enclave Sdn Bhd) [KB:VmS6RYBIEEdnxFCef8Nf, KB:tHkBqlf0YIy9rOMiP6Aw]\n- **Land Title:** Selangor Individual [KB:1WZCCWkEm5w5M57mfdNw, KB:XZkGV2oVRL3pv4W5sw9Y]\n- **Tenure:** Freehold [KB:1WZCCWkEm5w5M57mfdNw, KB:XZkGV2oVRL3pv4W5sw9Y]\n- **Maintenance Fee:** RM1,400 / month [KB:1WZCCWkEm5w5M57mfdNw, KB:XZkGV2oVRL3pv4W5sw9Y]\n- **Total Units:** 10 units [KB:1WZCCWkEm5w5M57mfdNw, KB:J3ZGNkj9jeWKiMqwX5Nw]\n- **Total Floors / Storeys:** 9 units are 4 storeys; 1 unit is 2 storeys [KB:J3ZGNkj9jeWKiMqwX5Nw]\n- **Completion / Vacant Possession:** Expected Q1 2028 (CCC in 2027) [KB:J3ZGNkj9jeWKiMqwX5Nw, KB:XZkGV2oVRL3pv4W5sw9Y]\n- **Furnishing:** Not on record\n- **Car Park Allocation:** Not on record\n\n### Top Reasons to Buy\n- **Exclusive Hilltop Living:** Low-density development of only 10 luxury bungalows nestled at Bukit Tabur in Taman Melawati [KB:J3ZGNkj9jeWKiMqwX5Nw, KB:XZkGV2oVRL3pv4W5sw9Y].\n- **Private Unit Amenities:** Features a private lift and private pool for each residence [KB:J3ZGNkj9jeWKiMqwX5Nw].\n- **Architectural Concept:** Inspired by Brazilian tropical modernist style, featuring column-free structures, central courtyards, and passive cooling design [KB:J3ZGNkj9jeWKiMqwX5Nw, KB:VmS6RYBIEEdnxFCef8Nf].\n- **Highway Accessibility:** Convenient connectivity via MRR2, DUKE, AKLEH, SPE, and SUKE [KB:XZkGV2oVRL3pv4W5sw9Y, KB:tHkBqlf0YIy9rOMiP6Aw]."
}</t>
        </is>
      </c>
    </row>
    <row r="81">
      <c r="A81" s="2" t="inlineStr">
        <is>
          <t>P74</t>
        </is>
      </c>
      <c r="B81" s="2" t="inlineStr">
        <is>
          <t>Rafflesia @ Hill 4</t>
        </is>
      </c>
      <c r="C81" s="2" t="n">
        <v>27</v>
      </c>
      <c r="D81" s="2" t="inlineStr">
        <is>
          <t>stop</t>
        </is>
      </c>
      <c r="E81" s="2" t="inlineStr">
        <is>
          <t>{"answer":"Here are the details for **Rafflesia @ Hill 4**:\n\n### Layouts (Hill 4)\n- **Type E &amp; E1**\n  - **Size**: 3,964 sq ft [KB:bbqblpFiXn1k1WavFd8k]\n  - **Bedrooms**: 5+2 Bedrooms, 6 Bathrooms [KB:bbqblpFiXn1k1WavFd8k]\n  - **Nett Price**: RM3,717,000 – RM3,783,000 [KB:bbqblpFiXn1k1WavFd8k]\n  - **Gross Price**: RM988 psf [KB:bbqblpFiXn1k1WavFd8k]\n  - **Status**: Available\n\n- **Type F &amp; F1**\n  - **Size**: 3,950 sq ft\n  - **Bedrooms**: 5+2 Bedrooms, 6 Bathrooms\n  - **Nett Price**: Not on record\n  - **Gross Price**: Not on record\n  - **Status**: Available\n\n- **Type G &amp; G1**\n  - **Size**: 3,877 sq ft [KB:bbqblpFiXn1k1WavFd8k]\n  - **Bedrooms**: 5+2 Bedrooms, 6 Bathrooms [KB:bbqblpFiXn1k1WavFd8k]\n  - **Nett Price**: RM3,901,000 – RM4,217,000 [KB:bbqblpFiXn1k1WavFd8k]\n  - **Gross Price**: RM1,006 psf [KB:bbqblpFiXn1k1WavFd8k]\n  - **Status**: Available\n\n- **Type H &amp; H1**\n  - **Size**: 3,877 sq ft\n  - **Bedrooms**: 5+2 Bedrooms, 6 Bathrooms\n  - **Nett Price**: Not on record\n  - **Gross Price**: Not on record\n  - **Status**: Available\n\n*(Note: Hill 1 and Hill 2 phases are fully sold out.)*\n\n### Project Details\n- **Area**: Damansara Perdana [KB:sGqAWBJMlNg2krpiXxKU]\n- **Developer**: MK Land [KB:sGqAWBJMlNg2krpiXxKU]\n- **Land Title**: Residential (Individual) [KB:sGqAWBJMlNg2krpiXxKU]\n- **Maintenance Fee**: RM600 currently; RM450 once handed over to MBPJ [KB:sGqAWBJMlNg2krpiXxKU]\n- **Tenure**: Leasehold (Renew 99 years upon handover) [KB:sGqAWBJMlNg2krpiXxKU]\n- **Total Units**: 22 units (Hill 4) [KB:sGqAWBJMlNg2krpiXxKU]\n- **Total Floors**: 3 Storeys [KB:sGqAWBJMlNg2krpiXxKU]\n- **Completion / Vacant Possession Date**: Q1 2027 [KB:sGqAWBJMlNg2krpiXxKU]\n- **Furnishing**: Bare Unit with Solar Hot Water [KB:sGqAWBJMlNg2krpiXxKU]\n- **Car Park Allocation**: 3 Carparks\n\n### Top Reasons to Buy [KB:sGqAWBJMlNg2krpiXxKU, KB:bbqblpFiXn1k1WavFd8k]\n1. **Nature's Neighbour**: Live adjacent to an 8-acre central park with a lake view, 330m above sea level.\n2. **Lush 3-Storey Living**: Spacious semi-detached homes surrounded by nature.\n3. **Unmatched Access**: Connect directly to DASH, LDP, and Penchala Link.\n4. **Matured Amenities**: Developed township facilities close by.\n5. **24/7 Security**: Round-the-clock patrolling in a gated and guarded community.\n6. **Smart Living Ready**: Prepped for smart home infrastructure.\n7. **EV Charging Point**: Dedicated EV charging stations at home.\n8. **Eco-Friendly Innovation**: Integrated rainwater harvesting system.\n9. **Universal Design**: Elderly-friendly and universally accessible homes.\n10. **Secluded Yet Central**: Exclusive privacy embraced by verdant greenery."}</t>
        </is>
      </c>
    </row>
    <row r="82">
      <c r="A82" s="2" t="inlineStr">
        <is>
          <t>P75</t>
        </is>
      </c>
      <c r="B82" s="2" t="inlineStr">
        <is>
          <t>DAYA Residence</t>
        </is>
      </c>
      <c r="C82" s="2" t="n">
        <v>31.7</v>
      </c>
      <c r="D82" s="2" t="inlineStr">
        <is>
          <t>stop</t>
        </is>
      </c>
      <c r="E82" s="2" t="inlineStr">
        <is>
          <t>{
  "answer": "Here are the project details for **DAYA Residence**:\n\n### Project Facts\n- **Area:** Kwasa Damansara, Shah Alam (Seksyen U4), Selangor [KB:NvNuhXjB8zwwTwI8ndTU]\n- **Developer:** TSR Development Sdn Bhd [KB:NvNuhXjB8zwwTwI8ndTU]\n- **Land Title:** Strata Title [KB:NvNuhXjB8zwwTwI8ndTU]\n- **Tenure:** Freehold [KB:NvNuhXjB8zwwTwI8ndTU]\n- **Total Units:** 260 units (low density) [KB:NvNuhXjB8zwwTwI8ndTU]\n- **Total Floors:** Not on record\n- **Expected Completion / VP:** December 2026 [KB:NvNuhXjB8zwwTwI8ndTU]\n- **Maintenance Fee:** RM0.28 per sq ft (inclusive of sinking fund) [KB:bCbUrxU9vRnqgjgOhw4q]\n- **Furnishing:** Digital lockset (Adel), sanitary fittings (TOTO), White Horse tiles, Legrand switches, timber bedroom flooring, and solar water heater system provided. Full furnishing package details are not on record.\n- **Car Park Allocation:** Stated as ample car parks; specific per-unit allocation count is not on record.\n- **Top Reasons to Buy:** Not on record\n\n### Layouts &amp; Pricing (Phase 1: Semi-D &amp; Bungalow)\n*All Phase 1 layouts feature 6 Bedrooms, 6+2 Bathrooms [KB:bCbUrxU9vRnqgjgOhw4q]. Standard packages offer Bumi discount of 7% + 3% rebate, and Non-Bumi rebate of 4.5% via credit note at Stage 4 [KB:bCbUrxU9vRnqgjgOhw4q]. Specific per-unit nett prices are not individually listed on record and vary by rebate calculation at booking.*\n\n- **Type A** (12 units)\n  - **Size:** 3,329 sq ft [35x70] [KB:JAgyc2on3i1yoT7uTrtL]\n  - **Bedrooms:** 6 Bedrooms\n  - **Gross Price:** RM2,600,000 – RM2,980,000 [KB:bCbUrxU9vRnqgjgOhw4q]\n  - **Nett Price:** Not on record (subject to rebate calculation)\n  - **Status:** Available\n\n- **Type B** (6 units)\n  - **Size:** 3,790 sq ft [36x75] [KB:JAgyc2on3i1yoT7uTrtL]\n  - **Bedrooms:** 6 Bedrooms\n  - **Gross Price:** RM2,900,000 – RM3,300,000 [KB:bCbUrxU9vRnqgjgOhw4q]\n  - **Nett Price:** Not on record (subject to rebate calculation)\n  - **Status:** Available\n\n- **Type C** (4 units)\n  - **Size:** 3,971 sq ft [37x75] [KB:JAgyc2on3i1yoT7uTrtL]\n  - **Bedrooms:** 6 Bedrooms\n  - **Gross Price:** RM3,000,000 – RM3,300,000 [KB:bCbUrxU9vRnqgjgOhw4q]\n  - **Nett Price:** Not on record (subject to rebate calculation)\n  - **Status:** Available\n\n- **Type D** (12 units)\n  - **Size:** 3,680 sq ft [38x70] [KB:JAgyc2on3i1yoT7uTrtL]\n  - **Bedrooms:** 6 Bedrooms\n  - **Gross Price:** RM2,900,000 – RM3,100,000 [KB:bCbUrxU9vRnqgjgOhw4q]\n  - **Nett Price:** Not on record (subject to rebate calculation)\n  - **Status:** Available\n\n*(Note: Phase 2 consists of Town Villas and Freehold Condominiums ranging from 950 sq ft to 1,570 sq ft priced from RM580 psf [KB:1Tu66BhmQd3nbV45QPvp]; individual layout tables for Phase 2 are not on record.)*\n\nFor details marked as not on record, please consult D2 sales admin directly."
}</t>
        </is>
      </c>
    </row>
    <row r="83">
      <c r="A83" s="2" t="inlineStr">
        <is>
          <t>P76</t>
        </is>
      </c>
      <c r="B83" s="2" t="inlineStr">
        <is>
          <t>Vila Setara Happy Garden</t>
        </is>
      </c>
      <c r="C83" s="2" t="n">
        <v>28.4</v>
      </c>
      <c r="D83" s="2" t="inlineStr">
        <is>
          <t>stop</t>
        </is>
      </c>
      <c r="E83" s="2" t="inlineStr">
        <is>
          <t>{
  "answer": "Here are the details for **Vila Setara Happy Garden** (Project ID: `FbLU7sHDjDA00nBXMYBr`):\n\n### Layout Breakdown\n- **Type A (Intermediate)**: 4,100 sq ft | 6+1 bedrooms, 6 bathrooms | Price: RM2,606,080 (No rebate/discount; separate gross vs nett price breakdown not on record [KB:VM3a0dhRzzNmS2rtIzPC]) | **Available**\n- **Type B (Intermediate)**: 4,100 sq ft | 6+1 bedrooms, 6 bathrooms | Price: RM2,606,080 (No rebate/discount; separate gross vs nett price breakdown not on record [KB:VM3a0dhRzzNmS2rtIzPC]) | **Available**\n- **Type C (Corner Lot)**: 5,595 sq ft | 6+1 bedrooms, 6 bathrooms | Recorded Price Range: RM4,222,880 – RM5,167,800 | **Sold Out** (Only intermediate Type A &amp; B units remain [KB:C4582RRL2pDk91SvklL4], [KB:VM3a0dhRzzNmS2rtIzPC])\n\n### Project Specifications &amp; Details\n- **Area**: Happy Garden (Taman Gembira), near Kuchai Lama, Kuala Lumpur [KB:KvtyvN6kiK9m39xieRnG]\n- **Developer**: Pembangunan Jujur Sejiwa Sdn Bhd [KB:KvtyvN6kiK9m39xieRnG]\n- **Land Title**: Not on record\n- **Maintenance Fee**: Not on record\n- **Tenure**: Freehold [KB:KvtyvN6kiK9m39xieRnG]\n- **Total Units**: 63 units [KB:KvtyvN6kiK9m39xieRnG]\n- **Total Floors / Storeys**: 3-storey terrace link villas [KB:7Exlj90iqhhdZE46MxuC]\n- **Completion / Vacant Possession Date**: Expected Q3 2026 [KB:KvtyvN6kiK9m39xieRnG]\n- **Furnishing**: Not on record (Air-conditioning points with piping and electric storage water heaters provided [KB:7Exlj90iqhhdZE46MxuC])\n- **Car Park Allocation**: 4 parking lots per unit\n\n### Top Reasons to Buy / Features\n- **Spacious High Ceilings**: 10 ft ceiling height from Ground Floor to 2nd Floor [KB:7Exlj90iqhhdZE46MxuC].\n- **Low Density**: Only 63 units across a 6-acre land area [KB:7Exlj90iqhhdZE46MxuC].\n- **EV &amp; Lift Ready**: Equipped with EV charger isolator and provision for courtyard lift installation [KB:7Exlj90iqhhdZE46MxuC].\n- **Roof Deck Space**: Additional roof deck and water tank room accessible via spiral staircase [KB:7Exlj90iqhhdZE46MxuC].\n- **Prime Location**: Gated and guarded community within walking distance to SJKC La Salle and 5 mins to Kuchai Lama &amp; Sri Petaling commercial hubs [KB:KvtyvN6kiK9m39xieRnG]."
}</t>
        </is>
      </c>
    </row>
    <row r="84">
      <c r="A84" s="2" t="inlineStr">
        <is>
          <t>P77</t>
        </is>
      </c>
      <c r="B84" s="2" t="inlineStr">
        <is>
          <t>E&amp;O – City of Elmina (Laman Embun Commercial)</t>
        </is>
      </c>
      <c r="C84" s="2" t="n">
        <v>19.7</v>
      </c>
      <c r="D84" s="2" t="inlineStr">
        <is>
          <t>stop</t>
        </is>
      </c>
      <c r="E84" s="2" t="inlineStr">
        <is>
          <t>{
  "answer": "Here are the details for **E&amp;O – City of Elmina (Laman Embun Commercial)** [Project ID: `Dqv8WfbY7tRC9plczVtZ`]:\n\n### Layout Details\n- **Layout Table (`unitTypes`)**: No detailed per-layout pricing or availability table is on record for this project.\n- **Layout Types &amp; Sizes** [KB:NFVlEHeNJKfZVqh6EBCf]:\n  - **Type A, A1, Aa, Ab, Ab1, Ac, Ac1, Ad**: 22’ x 75’ (3,256 sq ft, 2 floors)\n  - **Type B, B1, B2, B3**: 24’ x 75’ (3,552 sq ft)\n  - **Type C, C1**: 26’ x 75’ (3,848 sq ft, 2 floors)\n  - **Type D, D1**: 23’ x 75’ (3,259 sq ft)\n  - **Type E, E1**: 25’ x 75’ (3,554 sq ft)\n  - **Type F**: 27’ x 75’ (3,851 sq ft)\n  - *(Overall built-up range: 3,256 – 10,883 sq ft)*\n- **Bedrooms**: 0 (Commercial Shop Offices)\n- **Gross Price**: From RM2,300,000 [KB:yY7RDRIHI4QxSjWHga5p]\n- **Nett Price**: Not on record (5% rebate/discount, 10% Bumi discount, and 2% loyalty discount are available)\n- **Sold Out Status per Layout**: Not on record\n\n### Project Details\n- **Area**: City of Elmina, Shah Alam, Selangor [KB:yY7RDRIHI4QxSjWHga5p]\n- **Developer**: Eastern &amp; Oriental (E&amp;O) [KB:yY7RDRIHI4QxSjWHga5p]\n- **Land Title**: Commercial [KB:yY7RDRIHI4QxSjWHga5p]\n- **Tenure**: Freehold [KB:yY7RDRIHI4QxSjWHga5p]\n- **Total Units**: 50 units in Phase 1 (110 units total across Phase 1 + Phase 2) [KB:yY7RDRIHI4QxSjWHga5p]\n- **Total Floors**: 2 to 3 storeys [KB:5CCXsFoMutHpSPNo0FaX]\n- **Car Park Allocation**: Approximately 1,000 parking bays surrounding the precinct [KB:5CCXsFoMutHpSPNo0FaX]\n- **Maintenance Fee**: Not on record\n- **Completion / Vacant Possession Date**: Not on record\n- **Furnishing**: Not on record\n\n### Top Reasons to Buy\n- **Prime Frontage &amp; Visibility**: Prime position along Persiaran Dillenia with high vehicular visibility and two dedicated entrances [KB:5CCXsFoMutHpSPNo0FaX].\n- **Column-Free Flexible Space**: Practical 2–3 storey shop office designs with column-free interiors from 22’ x 75’ onwards [KB:5CCXsFoMutHpSPNo0FaX].\n- **Rare Corner Features**: 6 corner units feature private lifts at no extra cost.\n- **Affluent Captive Audience**: Serves an estimated 50,000–60,000 residents in City of Elmina with average household monthly incomes of RM13,000–RM17,000 [KB:GJD4dzbXefNjY6tqNf15].\n- **Seamless Highway Connectivity**: Excellent access via 5 major expressways (DASH, GCE, NKVE, NSE, and LATAR) [KB:VNUvC5XuKzNTWmFGjZdE]."
}</t>
        </is>
      </c>
    </row>
    <row r="85">
      <c r="A85" s="2" t="inlineStr">
        <is>
          <t>P78</t>
        </is>
      </c>
      <c r="B85" s="2" t="inlineStr">
        <is>
          <t>Aspire office @ KL ecocity</t>
        </is>
      </c>
      <c r="C85" s="2" t="n">
        <v>23.7</v>
      </c>
      <c r="D85" s="2" t="inlineStr">
        <is>
          <t>stop</t>
        </is>
      </c>
      <c r="E85" s="2" t="inlineStr">
        <is>
          <t>{"answer":"### Aspire Office @ KL Eco City — Project Details\n\n**Layouts &amp; Pricing**\n- **Layout Table:** There is no layout table on record in the D2 inventory (`unitTypes` is empty).\n- **General Layout Tiers:**\n  - **Executive (Levels 3A–9):** 1,152 – 1,971 sq ft (Bedrooms: N/A — Office)\n  - **Signature (Levels 10–22):** 3,623 – 16,393 sq ft (sold in bundles of 3 units)\n  - **Premier (Levels 23–39A):** 18,690 sq ft (full floor)\n- **Gross Price:** From RM1,475 psf\n- **Nett Price:** From ~RM1,180+ psf (after discounts and rebates)\n- **Per-unit Gross/Nett Price &amp; Sold Out Status:** Not on record.\n\n**Project Facts**\n- **Area:** KL Eco City [KB:us1R6Kn7oCxY6zyyaqla]\n- **Developer:** S P Setia Berhad [KB:us1R6Kn7oCxY6zyyaqla]\n- **Land Title:** Commercial (Strata Office) / specific title type not on record\n- **Tenure:** Leasehold [KB:us1R6Kn7oCxY6zyyaqla]\n- **Maintenance Fee:** RM0.65 psf\n- **Total Units:** Not on record (~670,000 sq ft total built-up)\n- **Total Floors:** 42 storeys [KB:us1R6Kn7oCxY6zyyaqla]\n- **Completion / Vacant Possession Date:** Q4 2023 [KB:us1R6Kn7oCxY6zyyaqla]\n- **Furnishing:** Bare / specific furnishing options not on record\n- **Car Park Allocation:** Available for bundled Signature &amp; Premier units [KB:DFH7DJEV7xAiHOZffpPH]; exact allocation count per unit is not on record\n\n**Top Reasons to Buy** [KB:EJEM4gKXY1XqMOEq9J9g]\n1. **Integrated Hub &amp; Direct Connectivity:** Direct bridge links to Abdullah Hukum LRT &amp; KTM stations as well as Mid Valley Megamall &amp; The Gardens Mall within the 25-acre KL Eco City mega hub. [KB:EJEM4gKXY1XqMOEq9J9g]\n2. **Attractive Entry Price &amp; Yield:** Competitive entry rate at ~RM1,180 psf nett (~30% below KLCC office prices) with estimated market rental yields of RM6.50 – RM8.00 psf. [KB:EJEM4gKXY1XqMOEq9J9g]\n3. **High Occupancy Demand:** KL Eco City offices maintain strong demand with area occupancy consistently above 85%. [KB:EJEM4gKXY1XqMOEq9J9g]"}</t>
        </is>
      </c>
    </row>
    <row r="86">
      <c r="A86" s="2" t="inlineStr">
        <is>
          <t>P79</t>
        </is>
      </c>
      <c r="B86" s="2" t="inlineStr">
        <is>
          <t>The MET, Corporate Tower</t>
        </is>
      </c>
      <c r="C86" s="2" t="n">
        <v>21.4</v>
      </c>
      <c r="D86" s="2" t="inlineStr">
        <is>
          <t>stop</t>
        </is>
      </c>
      <c r="E86" s="2" t="inlineStr">
        <is>
          <t>{
  "answer": "Here are the details for **The MET, Corporate Tower** (Project ID: `pSgeXCmr9VEVl1ha6uvG`):\n\n### Project Overview &amp; Key Facts\n- **Area:** KL Metropolis, Dutamas / Mont Kiara [KB:B4YOymtiSEJuUhzy8fFB]\n- **Developer:** Triterra (Triterra Metropolis Sdn Bhd; Chairman: Datuk Seri Michael Yam) [KB:B4YOymtiSEJuUhzy8fFB]\n- **Land Title:** Strata Title [KB:B4YOymtiSEJuUhzy8fFB]\n- **Tenure:** Freehold [KB:B4YOymtiSEJuUhzy8fFB]\n- **Total Units:** 488 units total across Block A &amp; Block B (Block B sold to CIDB) [KB:B4YOymtiSEJuUhzy8fFB]\n- **Total Floors:** Block A: 42 storeys | Block B: 30 storeys [KB:B4YOymtiSEJuUhzy8fFB]\n- **Completion / VP Date:** Completed (Q2 2023) [KB:B4YOymtiSEJuUhzy8fFB]\n- **Maintenance Fee:** Not on record\n- **Furnishing:** Bare unit with toilet &amp; pantry points ready\n- **Car Park Allocation:** 1,208 car park bays and 300 motorcycle bays across Levels 1–8 (per-unit allocation matrix is not on record)\n\n---\n\n### Layouts &amp; Pricing\n*Note: The MET is a commercial office development (bedrooms: N/A / 0). A full per-layout unit breakdown table with nett/gross pricing is **not on record**. Pricing is quoted at a overall rate of **RM1,200 – RM1,300 psf**.* [KB:JagMmSDTMqLVZwA8Tb3D]\n\n**Layout Tiers on Record:**\n- **Executive Levels (Levels 10–25):** 12 layout configurations ranging from 818 sq ft to 2,584 sq ft\n- **Premier Levels (Levels 26–31):** 4 layout configurations ranging from 3,606 sq ft to 4,231 sq ft\n- **Prestige Levels (Levels 32–39):** Full-floor units at 16,104 sq ft – 18,000 sq ft\n\n**Sample Unit Indicative Pricing on Record:**\n- **840 sq ft (Unit A-22-05):** SPA Price: RM1,043,000 | List Price: RM1,125,000 [KB:JagMmSDTMqLVZwA8Tb3D, KB:Z4ebaxkxqXV4eiXsoN3z]\n- **915 sq ft (Unit A-25-09):** SPA Price: RM1,168,000 | List Price: RM1,293,000 [KB:JagMmSDTMqLVZwA8Tb3D, KB:Z4ebaxkxqXV4eiXsoN3z]\n- **1,152 sq ft (Unit A-19-10):** SPA Price: RM1,544,000 | List Price: RM1,609,000 [KB:JagMmSDTMqLVZwA8Tb3D, KB:Z4ebaxkxqXV4eiXsoN3z]\n- **3,380 sq ft (Units A-16-3A, 05 &amp; 06 combined):** SPA Price: RM4,112,000 [KB:Z4ebaxkxqXV4eiXsoN3z]\n\n---\n\n### Top Reasons to Buy\n1. **First Grade-A Office in Mont Kiara / KL Metropolis:** Landmark corporate address built by Triterra [KB:3LjKhrdGf3Jf2uX8EsYV].\n2. **5-Star Hospitality &amp; Business Amenities:** Features a 10m triple-volume grand lobby, Glass Box Function Hall (200–300 pax), 75-pax business auditorium, meeting rooms, and gymnasium.\n3. **Modern &amp; Sustainable Infrastructure:** GBI-certified building with low-E double-laminated glass, EV charging stations, fiber-optic readiness, and rainwater harvesting.\n4. **Connectivity:** Walking distance to Matrade, Go KL bus stops, KTM Segambut, and future MRT3 station (~10-min walk) [KB:JagMmSDTMqLVZwA8Tb3D].\n5. **Attractive Yields &amp; Capital Appreciation:** Expected rental yields of ~4.5%–6.0% with strong capital growth upside in the growing KL Metropolis hub [KB:JagMmSDTMqLVZwA8Tb3D].",
  "matches": []
}</t>
        </is>
      </c>
    </row>
    <row r="87">
      <c r="A87" s="2" t="inlineStr">
        <is>
          <t>P80</t>
        </is>
      </c>
      <c r="B87" s="2" t="inlineStr">
        <is>
          <t>Sierra Hijau (Landed)</t>
        </is>
      </c>
      <c r="C87" s="2" t="n">
        <v>23.4</v>
      </c>
      <c r="D87" s="2" t="inlineStr">
        <is>
          <t>stop</t>
        </is>
      </c>
      <c r="E87" s="2" t="inlineStr">
        <is>
          <t>{
  "answer": "Here are the project details on record for **Sierra Hijau (Landed)** (Project ID: `at9ch36p3DlkFc0oydiE`):\n\n### Layouts, Sizes, Bedrooms &amp; Pricing\n* **Structured Layout Table**: Not on record (no per-layout unit table with specific built-up sqft, bedroom count breakdown, or split gross vs. nett prices is available in the record).\n* **General Layout Types &amp; Price Indications**:\n  * **Linked Villas**: Land sizes 24x60ft, 22x72.5ft, 22x75ft — Indicative price: around RM1.3mil.\n  * **Semi-Detached / Bungalow**: Land size 40x80ft — Indicative price: around RM2.2mil.\n* **Phase Availability / Sold Out Status**:\n  * **Phase 2B**: Semi-Ds (completed)\n  * **Phase 2C**: 50 units (**sold out**)\n  * **Phase 2D**: 80 units (**sold out**)\n  * **Phase 2E**: 24 units Semi-D + 1 unit Bungalow (active/available)\n  * **Phase 2H**: 60 units Linked House (active/available)\n\n--- \n\n### Project Specifications\n* **Area**: Ukay Perdana, Ampang, Selangor [KB:mYNS6rnwTpiUMoNBSikk]\n* **Developer**: Sierra Ukay Sdn Bhd (subsidiary of IJM Berhad) [KB:mYNS6rnwTpiUMoNBSikk]\n* **Land Title**: Residential\n* **Tenure**: Leasehold expiring year 2114 [KB:mYNS6rnwTpiUMoNBSikk]\n* **Maintenance Fee**: TBC (Previous phase was RM0.20 psf × land area) [KB:mYNS6rnwTpiUMoNBSikk]\n* **Total Units**: 310 landed units [KB:mYNS6rnwTpiUMoNBSikk]\n* **Total Floors**: Not on record\n* **Completion / Vacant Possession Date**: Target completion for Phase 2E &amp; Phase 2H is end of 2025\n* **Furnishing**: Basic bare unit with lighting and aircond points provided\n* **Car Park Allocation**: Not on record\n* **Top Reasons to Buy**: Not on record (please check with D2 sales admin for marketing materials)\n\nIf you need updated real-time unit availability or unit-specific price lists, please check with D2 sales admin."
}</t>
        </is>
      </c>
    </row>
    <row r="88">
      <c r="A88" s="2" t="inlineStr">
        <is>
          <t>P81</t>
        </is>
      </c>
      <c r="B88" s="2" t="inlineStr">
        <is>
          <t>Melbourne Square</t>
        </is>
      </c>
      <c r="C88" s="2" t="n">
        <v>21.7</v>
      </c>
      <c r="D88" s="2" t="inlineStr">
        <is>
          <t>stop</t>
        </is>
      </c>
      <c r="E88" s="2" t="inlineStr">
        <is>
          <t>{
  "answer": "### Project Details: Melbourne Square (AURA @ MSQ)\n\n**General Information:**\n- **Area:** Southbank, Melbourne, Australia [KB:TaMVFWNHEwt6u2aaudBx]\n- **Developer:** OSK Property (JV with EPF) [KB:TaMVFWNHEwt6u2aaudBx]\n- **Land Title:** Not on record\n- **Maintenance Fee:** Not on record\n- **Tenure:** Not on record\n- **Total Units:** 673 units [KB:TaMVFWNHEwt6u2aaudBx]\n- **Total Floors:** 67 levels [KB:TaMVFWNHEwt6u2aaudBx]\n- **Completion / Vacant Possession Date:** Not on record\n- **Top Reasons to Buy:** Not on record\n- **Furnishing:** Not on record\n- **Car Park Allocation:** Not on record (1 car park specified for 3-bedroom units; general allocation not on record)\n\n---\n\n**Layout &amp; Pricing Details:**\nPer-layout size, nett price, gross price, and sold-out unit status table are **not on record**.\n\nThe recorded unit distribution for the development is as follows:\n- **Studio &amp; 1 Bed, 1 Bath:** 87 units (13%) — Size, nett price, gross price: Not on record\n- **1 Bed, 1 Bath + MPR:** 227 units (34%) — Size, nett price, gross price: Not on record\n- **2 Bed, 2 Bath:** 277 units (41%) — Size, nett price, gross price: Not on record\n- **3 Bed, 2–3 Bath (1 Car):** 78 units (11%) — Size, nett price, gross price: Not on record\n- **Penthouse:** 4 units (1%) — Size, nett price, gross price: Not on record"
}</t>
        </is>
      </c>
    </row>
    <row r="89">
      <c r="A89" s="2" t="inlineStr">
        <is>
          <t>P82</t>
        </is>
      </c>
      <c r="B89" s="2" t="inlineStr">
        <is>
          <t>Lagenda Tunku (Villa Gemilang)</t>
        </is>
      </c>
      <c r="C89" s="2" t="n">
        <v>17</v>
      </c>
      <c r="D89" s="2" t="inlineStr">
        <is>
          <t>stop</t>
        </is>
      </c>
      <c r="E89" s="2" t="inlineStr">
        <is>
          <t>{
  "answer": "Here are the project details on record for **Lagenda Tunku (Villa Gemilang)** [Project ID: `k3e1jzoxD0byzkzsAWYi`]:\n\n### Project Overview\n- **Area:** Bukit Tunku [KB:ty4hM2Tj7TOL6OfVvwSr]\n- **Developer:** Revival International Sdn Bhd [KB:ty4hM2Tj7TOL6OfVvwSr]\n- **Land Title:** Strata [KB:ty4hM2Tj7TOL6OfVvwSr]\n- **Tenure:** Freehold [KB:ty4hM2Tj7TOL6OfVvwSr]\n- **Total Units:** 7 lots (bespoke villas) [KB:ty4hM2Tj7TOL6OfVvwSr]\n- **Total Floors / Storeys:** 3 – 4 storeys [KB:ty4hM2Tj7TOL6OfVvwSr]\n- **Expected Completion / Vacant Possession Date:** July 2026 [KB:ty4hM2Tj7TOL6OfVvwSr]\n- **Maintenance Fee:** Not on record\n- **Furnishing:** Not on record\n- **Car Park Allocation:** Not on record\n- **Top Reasons to Buy:** Not on record\n\n### Layouts &amp; Pricing\n- **Layout Table (Size, Bedrooms, Nett Price, Gross Price):** Not on record. There is no individual layout table or pricing list registered for this project.\n\nFor details that are not on record (such as maintenance fees or layout pricing), please check directly with D2 sales admin."
}</t>
        </is>
      </c>
    </row>
    <row r="90">
      <c r="A90" s="2" t="inlineStr">
        <is>
          <t>P83</t>
        </is>
      </c>
      <c r="B90" s="2" t="inlineStr">
        <is>
          <t>Ashbourne</t>
        </is>
      </c>
      <c r="C90" s="2" t="n">
        <v>23.2</v>
      </c>
      <c r="D90" s="2" t="inlineStr">
        <is>
          <t>stop</t>
        </is>
      </c>
      <c r="E90" s="2" t="inlineStr">
        <is>
          <t>{
  "matches": [],
  "answer": "Here are the project details for **Ashbourne** [KB:RvnF7FDG8t1Z7npwTVrB]:\n\n### Layout Details [KB:PxTmYPgkuQl5UlKS7QgA]\n- **Type A**: 1,491 sqft | 3 rooms (facing facilities) | Nett Price: not on record | Gross Price: not on record\n- **Type A1**: 1,538 sqft | 3 rooms (facing facilities) | Nett Price: not on record | Gross Price: not on record\n- **Type A2**: 1,652 sqft | 3 rooms (facing Intermark) | Nett Price: not on record | Gross Price: not on record\n- **Type A3**: 1,607 sqft | 3 rooms (facing Intermark) | Nett Price: not on record | Gross Price: not on record\n- **Type B**: 1,747 sqft | 3 rooms (facing partly Golf) | Nett Price: not on record | Gross Price: not on record\n- **Type C**: 2,273 sqft | 3+1 rooms (facing partly Golf) | Nett Price: not on record | Gross Price: not on record\n- **Type C1**: 2,273 sqft | 3+1 rooms (facing fully Golf) | Nett Price: not on record | Gross Price: not on record\n- **Type D**: 2,661 sqft | 4+1 rooms (facing fully Golf) | Nett Price: not on record | Gross Price: not on record\n*(Note: None of the above layouts are marked as sold out on record)*\n\n### Project Specifications [KB:RvnF7FDG8t1Z7npwTVrB]\n- **Area**: Jalan Ampang, Taman U-thant\n- **Developer**: Paramount Properties (53 years in market, listed developer)\n- **Land Title**: Commercial under HDA for residential use (no AirBnB)\n- **Maintenance Fee**: RM0.33 psf (including sinking fund)\n- **Tenure**: Freehold\n- **Total Units**: 458 units (Tower A: 198, Tower B: 260)\n- **Total Floors**: 79 storeys\n- **Completion / VP Date**: End of 2031\n- **Top Reasons to Buy**: Not on record\n- **Furnishing**: Partly Furnished\n  - Full air-conditioners (split unit, not ducted)\n  - Full bathrooms with storage tank water heater, vanity top &amp; wet kitchen cabinet\n  - Hotel-spec Roca &amp; Hansgrohe sanitary wares &amp; shower screens\n  - Bosch fridge, hood &amp; hob induction, dishwasher, food grinder\n  - 3x3 tiles in living area &amp; engineered timber flooring in all rooms\n  - Digital lock at main entrance\n  - Balcony with water tap\n  - L-shaped wet kitchen (fridge space included, washer cabinet not included)\n- **Car Park Allocation**: Ground floor to 5th floor with speed ramp (2 to 6 carparks; e.g. 1,491 sqft gets 2–3 carparks, 2,661 sqft gets 4–6 carparks) [KB:PxTmYPgkuQl5UlKS7QgA]"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2026-10-27T15:12:33Z</dcterms:created>
  <dcterms:modified xmlns:dcterms="http://purl.org/dc/terms/" xmlns:xsi="http://www.w3.org/2001/XMLSchema-instance" xsi:type="dcterms:W3CDTF">2026-10-27T15:12:33Z</dcterms:modified>
</cp:coreProperties>
</file>